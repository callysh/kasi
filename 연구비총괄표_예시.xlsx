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0.10.1.241\Doc\사업관리실\02. 수탁사업\KASILog\업로드용\"/>
    </mc:Choice>
  </mc:AlternateContent>
  <xr:revisionPtr revIDLastSave="0" documentId="13_ncr:1_{976A5069-1054-41E0-828B-1514E7EEBD4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연구비계상(과제책임자용)" sheetId="1" r:id="rId1"/>
    <sheet name="인건비계상기준" sheetId="5" r:id="rId2"/>
    <sheet name="연구비총괄표(연구업무심의회용)" sheetId="3" r:id="rId3"/>
    <sheet name="회계계정(성과관리팀용)" sheetId="2" r:id="rId4"/>
    <sheet name="DATA" sheetId="4" r:id="rId5"/>
  </sheets>
  <definedNames>
    <definedName name="_xlnm.Print_Area" localSheetId="0">'연구비계상(과제책임자용)'!$A$1:$T$46</definedName>
    <definedName name="_xlnm.Print_Area" localSheetId="2">'연구비총괄표(연구업무심의회용)'!$A$1:$K$26</definedName>
    <definedName name="_xlnm.Print_Area" localSheetId="3">'회계계정(성과관리팀용)'!$B$2:$E$30</definedName>
    <definedName name="Z_7BB2379F_5AA3_4CB5_8096_BED59F8EE78A_.wvu.PrintArea" localSheetId="0" hidden="1">'연구비계상(과제책임자용)'!$H$1:$S$42</definedName>
    <definedName name="Z_90EF107A_B388_4A22_BC21_CA0EAB430C10_.wvu.PrintArea" localSheetId="0" hidden="1">'연구비계상(과제책임자용)'!$H$1:$S$42</definedName>
    <definedName name="목록_단위">DATA!$A$1:$A$2</definedName>
  </definedNames>
  <calcPr calcId="191029"/>
  <customWorkbookViews>
    <customWorkbookView name="1" guid="{90EF107A-B388-4A22-BC21-CA0EAB430C10}" maximized="1" xWindow="-8" yWindow="-8" windowWidth="1936" windowHeight="1056" activeSheetId="1"/>
    <customWorkbookView name="2" guid="{7BB2379F-5AA3-4CB5-8096-BED59F8EE78A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I20" i="5"/>
  <c r="I39" i="5"/>
  <c r="I40" i="5"/>
  <c r="I2" i="5"/>
  <c r="G3" i="5"/>
  <c r="I3" i="5" s="1"/>
  <c r="G4" i="5"/>
  <c r="I4" i="5" s="1"/>
  <c r="L4" i="1" s="1"/>
  <c r="G5" i="5"/>
  <c r="I5" i="5" s="1"/>
  <c r="L5" i="1" s="1"/>
  <c r="G6" i="5"/>
  <c r="I6" i="5" s="1"/>
  <c r="L6" i="1" s="1"/>
  <c r="G7" i="5"/>
  <c r="I7" i="5" s="1"/>
  <c r="G8" i="5"/>
  <c r="I8" i="5" s="1"/>
  <c r="G9" i="5"/>
  <c r="I9" i="5" s="1"/>
  <c r="G10" i="5"/>
  <c r="I10" i="5" s="1"/>
  <c r="G11" i="5"/>
  <c r="I11" i="5" s="1"/>
  <c r="G12" i="5"/>
  <c r="I12" i="5" s="1"/>
  <c r="G13" i="5"/>
  <c r="I13" i="5" s="1"/>
  <c r="G14" i="5"/>
  <c r="I14" i="5" s="1"/>
  <c r="G15" i="5"/>
  <c r="I15" i="5" s="1"/>
  <c r="G16" i="5"/>
  <c r="I16" i="5" s="1"/>
  <c r="G17" i="5"/>
  <c r="I17" i="5" s="1"/>
  <c r="G18" i="5"/>
  <c r="I18" i="5" s="1"/>
  <c r="G19" i="5"/>
  <c r="I19" i="5" s="1"/>
  <c r="G20" i="5"/>
  <c r="G21" i="5"/>
  <c r="I21" i="5" s="1"/>
  <c r="G22" i="5"/>
  <c r="I22" i="5" s="1"/>
  <c r="G23" i="5"/>
  <c r="I23" i="5" s="1"/>
  <c r="G24" i="5"/>
  <c r="I24" i="5" s="1"/>
  <c r="G25" i="5"/>
  <c r="I25" i="5" s="1"/>
  <c r="G26" i="5"/>
  <c r="I26" i="5" s="1"/>
  <c r="G27" i="5"/>
  <c r="I27" i="5" s="1"/>
  <c r="G28" i="5"/>
  <c r="I28" i="5" s="1"/>
  <c r="G29" i="5"/>
  <c r="I29" i="5" s="1"/>
  <c r="G30" i="5"/>
  <c r="I30" i="5" s="1"/>
  <c r="G31" i="5"/>
  <c r="I31" i="5" s="1"/>
  <c r="G32" i="5"/>
  <c r="I32" i="5" s="1"/>
  <c r="G33" i="5"/>
  <c r="I33" i="5" s="1"/>
  <c r="G34" i="5"/>
  <c r="I34" i="5" s="1"/>
  <c r="G35" i="5"/>
  <c r="I35" i="5" s="1"/>
  <c r="G36" i="5"/>
  <c r="I36" i="5" s="1"/>
  <c r="G37" i="5"/>
  <c r="I37" i="5" s="1"/>
  <c r="G38" i="5"/>
  <c r="I38" i="5" s="1"/>
  <c r="G39" i="5"/>
  <c r="G2" i="5"/>
  <c r="R15" i="1" l="1"/>
  <c r="Q26" i="1"/>
  <c r="R25" i="1" s="1"/>
  <c r="Q34" i="1" l="1"/>
  <c r="R33" i="1" l="1"/>
  <c r="D14" i="1" l="1"/>
  <c r="D13" i="1" l="1"/>
  <c r="R14" i="1"/>
  <c r="Q42" i="1"/>
  <c r="R41" i="1" s="1"/>
  <c r="Q25" i="1" l="1"/>
  <c r="Q38" i="1" l="1"/>
  <c r="R9" i="1"/>
  <c r="Q40" i="1" s="1"/>
  <c r="R39" i="1" s="1"/>
  <c r="Q29" i="1" l="1"/>
  <c r="E10" i="3" l="1"/>
  <c r="F9" i="1"/>
  <c r="H12" i="3" l="1"/>
  <c r="J12" i="3"/>
  <c r="E22" i="3"/>
  <c r="E18" i="3"/>
  <c r="E17" i="3"/>
  <c r="E16" i="3"/>
  <c r="E15" i="3"/>
  <c r="E14" i="3"/>
  <c r="E13" i="3"/>
  <c r="E12" i="3"/>
  <c r="E11" i="3"/>
  <c r="R2" i="1"/>
  <c r="L2" i="1"/>
  <c r="D16" i="1"/>
  <c r="E33" i="1"/>
  <c r="E32" i="1"/>
  <c r="E31" i="1"/>
  <c r="E30" i="1"/>
  <c r="E29" i="1"/>
  <c r="E28" i="1"/>
  <c r="E21" i="3" l="1"/>
  <c r="Q36" i="1"/>
  <c r="R35" i="1" s="1"/>
  <c r="E19" i="3"/>
  <c r="D36" i="1"/>
  <c r="D34" i="1"/>
  <c r="D39" i="1" s="1"/>
  <c r="E34" i="1" l="1"/>
  <c r="D27" i="2"/>
  <c r="D26" i="2"/>
  <c r="D25" i="2"/>
  <c r="D14" i="2"/>
  <c r="D13" i="2"/>
  <c r="D12" i="2"/>
  <c r="D8" i="2" l="1"/>
  <c r="D21" i="2"/>
  <c r="D24" i="2" l="1"/>
  <c r="E35" i="1"/>
  <c r="D11" i="2"/>
  <c r="J18" i="3" l="1"/>
  <c r="H18" i="3" s="1"/>
  <c r="J20" i="3"/>
  <c r="H20" i="3" s="1"/>
  <c r="D22" i="2"/>
  <c r="D9" i="2"/>
  <c r="R37" i="1" l="1"/>
  <c r="J19" i="3"/>
  <c r="H19" i="3" s="1"/>
  <c r="R19" i="1" l="1"/>
  <c r="Q30" i="1" s="1"/>
  <c r="D15" i="1" l="1"/>
  <c r="E20" i="3"/>
  <c r="E23" i="3" s="1"/>
  <c r="E37" i="1"/>
  <c r="R20" i="1"/>
  <c r="E36" i="1"/>
  <c r="D10" i="2"/>
  <c r="D23" i="2"/>
  <c r="Q28" i="1" l="1"/>
  <c r="R22" i="1"/>
  <c r="H13" i="3"/>
  <c r="J13" i="3"/>
  <c r="R29" i="1"/>
  <c r="E39" i="1"/>
  <c r="E38" i="1" l="1"/>
  <c r="E24" i="3"/>
  <c r="E25" i="3" s="1"/>
  <c r="D28" i="2"/>
  <c r="D30" i="2" s="1"/>
  <c r="D15" i="2"/>
  <c r="D17" i="2" s="1"/>
  <c r="J14" i="3"/>
  <c r="H14" i="3"/>
  <c r="R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kasi</author>
    <author>jks</author>
  </authors>
  <commentList>
    <comment ref="K4" authorId="0" shapeId="0" xr:uid="{92597CDA-072F-45DC-809C-84D27348177D}">
      <text>
        <r>
          <rPr>
            <b/>
            <sz val="9"/>
            <color indexed="81"/>
            <rFont val="Tahoma"/>
            <family val="2"/>
          </rPr>
          <t>kasi: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연구근접지원인력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인건비도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계상할것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D6" authorId="1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발주기관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비과세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면세사업</t>
        </r>
        <r>
          <rPr>
            <sz val="9"/>
            <color indexed="81"/>
            <rFont val="Tahoma"/>
            <family val="2"/>
          </rPr>
          <t xml:space="preserve"> : '</t>
        </r>
        <r>
          <rPr>
            <sz val="9"/>
            <color indexed="81"/>
            <rFont val="돋움"/>
            <family val="3"/>
            <charset val="129"/>
          </rPr>
          <t>천원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 xml:space="preserve">단위
</t>
        </r>
        <r>
          <rPr>
            <sz val="9"/>
            <color indexed="81"/>
            <rFont val="Tahoma"/>
            <family val="2"/>
          </rPr>
          <t>*</t>
        </r>
        <r>
          <rPr>
            <sz val="9"/>
            <color indexed="81"/>
            <rFont val="돋움"/>
            <family val="3"/>
            <charset val="129"/>
          </rPr>
          <t>과세사업</t>
        </r>
        <r>
          <rPr>
            <sz val="9"/>
            <color indexed="81"/>
            <rFont val="Tahoma"/>
            <family val="2"/>
          </rPr>
          <t xml:space="preserve"> : '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' </t>
        </r>
        <r>
          <rPr>
            <sz val="9"/>
            <color indexed="81"/>
            <rFont val="돋움"/>
            <family val="3"/>
            <charset val="129"/>
          </rPr>
          <t>단위</t>
        </r>
      </text>
    </comment>
    <comment ref="P7" authorId="0" shapeId="0" xr:uid="{1F22DCE3-8F3A-4B53-8BC3-AB6D32ED7E59}">
      <text>
        <r>
          <rPr>
            <b/>
            <sz val="9"/>
            <color rgb="FF000000"/>
            <rFont val="Tahoma"/>
            <family val="2"/>
          </rPr>
          <t>kasi: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ㅇ법률로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직접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설립된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연구개발기관이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19</t>
        </r>
        <r>
          <rPr>
            <sz val="9"/>
            <color rgb="FF000000"/>
            <rFont val="돋움"/>
            <family val="3"/>
            <charset val="129"/>
          </rPr>
          <t>조제</t>
        </r>
        <r>
          <rPr>
            <sz val="9"/>
            <color rgb="FF000000"/>
            <rFont val="Tahoma"/>
            <family val="2"/>
          </rPr>
          <t>4</t>
        </r>
        <r>
          <rPr>
            <sz val="9"/>
            <color rgb="FF000000"/>
            <rFont val="돋움"/>
            <family val="3"/>
            <charset val="129"/>
          </rPr>
          <t>항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호에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해당하는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연구개발과제를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4</t>
        </r>
        <r>
          <rPr>
            <sz val="9"/>
            <color rgb="FF000000"/>
            <rFont val="돋움"/>
            <family val="3"/>
            <charset val="129"/>
          </rPr>
          <t>조제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호에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따른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기본사업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연구개발비에서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부담하는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비용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법률로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직접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설립된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연구개발기관이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</t>
        </r>
        <r>
          <rPr>
            <sz val="9"/>
            <color rgb="FF000000"/>
            <rFont val="Tahoma"/>
            <family val="2"/>
          </rPr>
          <t>4</t>
        </r>
        <r>
          <rPr>
            <sz val="9"/>
            <color rgb="FF000000"/>
            <rFont val="돋움"/>
            <family val="3"/>
            <charset val="129"/>
          </rPr>
          <t>조제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호에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따른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기본사업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연구개발과제를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수행하기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위하여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연구개발과제협약으로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바에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따라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다른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연구개발기관에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비용</t>
        </r>
      </text>
    </comment>
    <comment ref="D11" authorId="1" shapeId="0" xr:uid="{00000000-0006-0000-0000-000003000000}">
      <text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비율</t>
        </r>
        <r>
          <rPr>
            <b/>
            <sz val="9"/>
            <color rgb="FF000000"/>
            <rFont val="Tahoma"/>
            <family val="2"/>
          </rPr>
          <t xml:space="preserve"> = 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Tahoma"/>
            <family val="2"/>
          </rPr>
          <t xml:space="preserve"> / </t>
        </r>
        <r>
          <rPr>
            <b/>
            <sz val="9"/>
            <color rgb="FF000000"/>
            <rFont val="돋움"/>
            <family val="3"/>
            <charset val="129"/>
          </rPr>
          <t>직접비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위탁연구개발비</t>
        </r>
        <r>
          <rPr>
            <b/>
            <sz val="9"/>
            <color rgb="FF000000"/>
            <rFont val="Tahoma"/>
            <family val="2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국제공동연구개발비</t>
        </r>
        <r>
          <rPr>
            <b/>
            <sz val="9"/>
            <color rgb="FF000000"/>
            <rFont val="Tahoma"/>
            <family val="2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미지급인건비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연구개발부담비를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제외한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금액</t>
        </r>
        <r>
          <rPr>
            <b/>
            <sz val="9"/>
            <color rgb="FF000000"/>
            <rFont val="Tahoma"/>
            <family val="2"/>
          </rPr>
          <t>)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>(*</t>
        </r>
        <r>
          <rPr>
            <sz val="9"/>
            <color rgb="FF000000"/>
            <rFont val="돋움"/>
            <family val="3"/>
            <charset val="129"/>
          </rPr>
          <t>분모가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연구비가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아님</t>
        </r>
        <r>
          <rPr>
            <sz val="9"/>
            <color rgb="FF000000"/>
            <rFont val="Tahoma"/>
            <family val="2"/>
          </rPr>
          <t>)</t>
        </r>
        <r>
          <rPr>
            <b/>
            <sz val="9"/>
            <color rgb="FF000000"/>
            <rFont val="Tahoma"/>
            <family val="2"/>
          </rPr>
          <t xml:space="preserve">
&lt;1</t>
        </r>
        <r>
          <rPr>
            <b/>
            <sz val="9"/>
            <color rgb="FF000000"/>
            <rFont val="돋움"/>
            <family val="3"/>
            <charset val="129"/>
          </rPr>
          <t>순위</t>
        </r>
        <r>
          <rPr>
            <b/>
            <sz val="9"/>
            <color rgb="FF000000"/>
            <rFont val="Tahoma"/>
            <family val="2"/>
          </rPr>
          <t>&gt;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사업공고문에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간접비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지급액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또는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비율이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해당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금액</t>
        </r>
        <r>
          <rPr>
            <sz val="9"/>
            <color rgb="FF000000"/>
            <rFont val="Tahoma"/>
            <family val="2"/>
          </rPr>
          <t>/</t>
        </r>
        <r>
          <rPr>
            <sz val="9"/>
            <color rgb="FF000000"/>
            <rFont val="돋움"/>
            <family val="3"/>
            <charset val="129"/>
          </rPr>
          <t>비율을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따른다</t>
        </r>
        <r>
          <rPr>
            <sz val="9"/>
            <color rgb="FF000000"/>
            <rFont val="Tahoma"/>
            <family val="2"/>
          </rPr>
          <t>.</t>
        </r>
        <r>
          <rPr>
            <b/>
            <sz val="9"/>
            <color rgb="FF000000"/>
            <rFont val="Tahoma"/>
            <family val="2"/>
          </rPr>
          <t xml:space="preserve">
-&gt; </t>
        </r>
        <r>
          <rPr>
            <b/>
            <sz val="9"/>
            <color rgb="FF000000"/>
            <rFont val="돋움"/>
            <family val="3"/>
            <charset val="129"/>
          </rPr>
          <t>해당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간접비율로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입력하여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엑셀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 xml:space="preserve">활용
</t>
        </r>
        <r>
          <rPr>
            <sz val="9"/>
            <color rgb="FF000000"/>
            <rFont val="Tahoma"/>
            <family val="2"/>
          </rPr>
          <t>&lt;2</t>
        </r>
        <r>
          <rPr>
            <sz val="9"/>
            <color rgb="FF000000"/>
            <rFont val="돋움"/>
            <family val="3"/>
            <charset val="129"/>
          </rPr>
          <t>순위</t>
        </r>
        <r>
          <rPr>
            <sz val="9"/>
            <color rgb="FF000000"/>
            <rFont val="Tahoma"/>
            <family val="2"/>
          </rPr>
          <t>&gt;</t>
        </r>
        <r>
          <rPr>
            <b/>
            <sz val="9"/>
            <color rgb="FF000000"/>
            <rFont val="Tahoma"/>
            <family val="2"/>
          </rPr>
          <t xml:space="preserve"> 2022.12.21 </t>
        </r>
        <r>
          <rPr>
            <sz val="9"/>
            <color rgb="FF000000"/>
            <rFont val="돋움"/>
            <family val="3"/>
            <charset val="129"/>
          </rPr>
          <t>이전에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협약된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사업의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경우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협약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당시의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간접비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비율을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따른다</t>
        </r>
        <r>
          <rPr>
            <sz val="9"/>
            <color rgb="FF000000"/>
            <rFont val="Tahoma"/>
            <family val="2"/>
          </rPr>
          <t xml:space="preserve">. </t>
        </r>
        <r>
          <rPr>
            <b/>
            <sz val="9"/>
            <color rgb="FF000000"/>
            <rFont val="Tahoma"/>
            <family val="2"/>
          </rPr>
          <t xml:space="preserve">-&gt; </t>
        </r>
        <r>
          <rPr>
            <b/>
            <sz val="9"/>
            <color rgb="FF000000"/>
            <rFont val="돋움"/>
            <family val="3"/>
            <charset val="129"/>
          </rPr>
          <t>해당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간접비율로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수정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입력하여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엑셀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활용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사업관리실에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고시간접비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확인</t>
        </r>
        <r>
          <rPr>
            <b/>
            <sz val="9"/>
            <color rgb="FF000000"/>
            <rFont val="Tahoma"/>
            <family val="2"/>
          </rPr>
          <t>)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>&lt;2</t>
        </r>
        <r>
          <rPr>
            <b/>
            <sz val="9"/>
            <color rgb="FF000000"/>
            <rFont val="돋움"/>
            <family val="3"/>
            <charset val="129"/>
          </rPr>
          <t>순위</t>
        </r>
        <r>
          <rPr>
            <b/>
            <sz val="9"/>
            <color rgb="FF000000"/>
            <rFont val="Tahoma"/>
            <family val="2"/>
          </rPr>
          <t>&gt;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과기부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고시비율을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따른다</t>
        </r>
        <r>
          <rPr>
            <sz val="9"/>
            <color rgb="FF000000"/>
            <rFont val="Tahoma"/>
            <family val="2"/>
          </rPr>
          <t>.(</t>
        </r>
        <r>
          <rPr>
            <sz val="9"/>
            <color rgb="FF000000"/>
            <rFont val="돋움"/>
            <family val="3"/>
            <charset val="129"/>
          </rPr>
          <t>사업관리실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고시간접비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필요</t>
        </r>
        <r>
          <rPr>
            <sz val="9"/>
            <color rgb="FF000000"/>
            <rFont val="Tahoma"/>
            <family val="2"/>
          </rPr>
          <t>)-&gt; 2026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현재</t>
        </r>
        <r>
          <rPr>
            <sz val="9"/>
            <color rgb="FF000000"/>
            <rFont val="Tahoma"/>
            <family val="2"/>
          </rPr>
          <t xml:space="preserve"> 19.06%</t>
        </r>
      </text>
    </comment>
    <comment ref="D12" authorId="1" shapeId="0" xr:uid="{00000000-0006-0000-0000-000004000000}">
      <text>
        <r>
          <rPr>
            <b/>
            <sz val="9"/>
            <color rgb="FF000000"/>
            <rFont val="돋움"/>
            <family val="3"/>
            <charset val="129"/>
          </rPr>
          <t>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인건비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미지급인건비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  <r>
          <rPr>
            <b/>
            <sz val="9"/>
            <color rgb="FF000000"/>
            <rFont val="돋움"/>
            <family val="3"/>
            <charset val="129"/>
          </rPr>
          <t>의</t>
        </r>
        <r>
          <rPr>
            <b/>
            <sz val="9"/>
            <color rgb="FF000000"/>
            <rFont val="Tahoma"/>
            <family val="2"/>
          </rPr>
          <t xml:space="preserve"> 1~2% </t>
        </r>
        <r>
          <rPr>
            <b/>
            <sz val="9"/>
            <color rgb="FF000000"/>
            <rFont val="돋움"/>
            <family val="3"/>
            <charset val="129"/>
          </rPr>
          <t>계상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가급적</t>
        </r>
        <r>
          <rPr>
            <sz val="9"/>
            <color rgb="FF000000"/>
            <rFont val="Tahoma"/>
            <family val="2"/>
          </rPr>
          <t xml:space="preserve"> 1.5% </t>
        </r>
        <r>
          <rPr>
            <sz val="9"/>
            <color rgb="FF000000"/>
            <rFont val="돋움"/>
            <family val="3"/>
            <charset val="129"/>
          </rPr>
          <t>적용</t>
        </r>
        <r>
          <rPr>
            <sz val="9"/>
            <color rgb="FF000000"/>
            <rFont val="Tahoma"/>
            <family val="2"/>
          </rPr>
          <t>)</t>
        </r>
      </text>
    </comment>
    <comment ref="C13" authorId="1" shapeId="0" xr:uid="{00000000-0006-0000-0000-000005000000}">
      <text>
        <r>
          <rPr>
            <b/>
            <sz val="9"/>
            <color rgb="FF000000"/>
            <rFont val="돋움"/>
            <family val="3"/>
            <charset val="129"/>
          </rPr>
          <t>미지급인건비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위탁연구개발비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국제공동연구개발비</t>
        </r>
        <r>
          <rPr>
            <b/>
            <sz val="9"/>
            <color rgb="FF000000"/>
            <rFont val="Tahoma"/>
            <family val="2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연구개발부담비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직접비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Tahoma"/>
            <family val="2"/>
          </rPr>
          <t>[</t>
        </r>
        <r>
          <rPr>
            <b/>
            <sz val="9"/>
            <color rgb="FF000000"/>
            <rFont val="돋움"/>
            <family val="3"/>
            <charset val="129"/>
          </rPr>
          <t>국가연구개발사업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연구개발비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</t>
        </r>
        <r>
          <rPr>
            <b/>
            <sz val="9"/>
            <color rgb="FF000000"/>
            <rFont val="Tahoma"/>
            <family val="2"/>
          </rPr>
          <t>2</t>
        </r>
        <r>
          <rPr>
            <b/>
            <sz val="9"/>
            <color rgb="FF000000"/>
            <rFont val="돋움"/>
            <family val="3"/>
            <charset val="129"/>
          </rPr>
          <t>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</t>
        </r>
        <r>
          <rPr>
            <b/>
            <sz val="9"/>
            <color rgb="FF000000"/>
            <rFont val="Tahoma"/>
            <family val="2"/>
          </rPr>
          <t>9</t>
        </r>
        <r>
          <rPr>
            <b/>
            <sz val="9"/>
            <color rgb="FF000000"/>
            <rFont val="돋움"/>
            <family val="3"/>
            <charset val="129"/>
          </rPr>
          <t>호</t>
        </r>
        <r>
          <rPr>
            <b/>
            <sz val="9"/>
            <color rgb="FF000000"/>
            <rFont val="Tahoma"/>
            <family val="2"/>
          </rPr>
          <t>]</t>
        </r>
      </text>
    </comment>
    <comment ref="P13" authorId="0" shapeId="0" xr:uid="{7000D9C3-870A-4A58-AF84-C207B5B39083}">
      <text>
        <r>
          <rPr>
            <b/>
            <sz val="9"/>
            <color indexed="81"/>
            <rFont val="Tahoma"/>
            <family val="2"/>
          </rPr>
          <t>kasi: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연구개발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기반시설ㆍ장비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계상되지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
가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연구개발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기반시설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운영비
나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공동활용시설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연구개발시설ㆍ장비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구입비
다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클라우드컴퓨팅서비스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활용비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클라우드컴퓨팅서비스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소요되는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</text>
    </comment>
    <comment ref="R14" authorId="1" shapeId="0" xr:uid="{00000000-0006-0000-0000-000006000000}">
      <text>
        <r>
          <rPr>
            <b/>
            <sz val="9"/>
            <color rgb="FF000000"/>
            <rFont val="돋움"/>
            <family val="3"/>
            <charset val="129"/>
          </rPr>
          <t>H9</t>
        </r>
        <r>
          <rPr>
            <b/>
            <sz val="9"/>
            <color rgb="FF000000"/>
            <rFont val="돋움"/>
            <family val="3"/>
            <charset val="129"/>
          </rPr>
          <t>셀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간접비율에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맞게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자동계산</t>
        </r>
      </text>
    </comment>
    <comment ref="P18" authorId="0" shapeId="0" xr:uid="{825B51C5-7861-4F75-AED7-8C40F3A741C7}">
      <text>
        <r>
          <rPr>
            <b/>
            <sz val="9"/>
            <color indexed="81"/>
            <rFont val="Tahoma"/>
            <family val="2"/>
          </rPr>
          <t>kasi:</t>
        </r>
        <r>
          <rPr>
            <sz val="9"/>
            <color indexed="81"/>
            <rFont val="Tahoma"/>
            <family val="2"/>
          </rPr>
          <t xml:space="preserve">
: </t>
        </r>
        <r>
          <rPr>
            <sz val="9"/>
            <color indexed="81"/>
            <rFont val="돋움"/>
            <family val="3"/>
            <charset val="129"/>
          </rPr>
          <t>연구개발과제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
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학술용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도서ㆍ전자정보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구입비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실험실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지원비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학술대회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연구개발기관의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
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</text>
    </comment>
    <comment ref="N21" authorId="1" shapeId="0" xr:uid="{00000000-0006-0000-0000-000007000000}">
      <text>
        <r>
          <rPr>
            <b/>
            <sz val="9"/>
            <color rgb="FF000000"/>
            <rFont val="돋움"/>
            <family val="3"/>
            <charset val="129"/>
          </rPr>
          <t>과세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과제만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b/>
            <sz val="9"/>
            <color rgb="FF000000"/>
            <rFont val="Tahoma"/>
            <family val="2"/>
          </rPr>
          <t xml:space="preserve"> (ex. </t>
        </r>
        <r>
          <rPr>
            <b/>
            <sz val="9"/>
            <color rgb="FF000000"/>
            <rFont val="돋움"/>
            <family val="3"/>
            <charset val="129"/>
          </rPr>
          <t>연구용역사업</t>
        </r>
        <r>
          <rPr>
            <b/>
            <sz val="9"/>
            <color rgb="FF000000"/>
            <rFont val="Tahoma"/>
            <family val="2"/>
          </rPr>
          <t>)</t>
        </r>
      </text>
    </comment>
    <comment ref="C24" authorId="1" shapeId="0" xr:uid="{00000000-0006-0000-0000-000009000000}">
      <text>
        <r>
          <rPr>
            <b/>
            <sz val="9"/>
            <color rgb="FF000000"/>
            <rFont val="돋움"/>
            <family val="3"/>
            <charset val="129"/>
          </rPr>
          <t>필수입력값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아님</t>
        </r>
      </text>
    </comment>
    <comment ref="Q24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조건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Q27" authorId="1" shapeId="0" xr:uid="{00000000-0006-0000-0000-00000A000000}">
      <text>
        <r>
          <rPr>
            <b/>
            <sz val="9"/>
            <color rgb="FF000000"/>
            <rFont val="돋움"/>
            <family val="3"/>
            <charset val="129"/>
          </rPr>
          <t>간접성경비</t>
        </r>
        <r>
          <rPr>
            <b/>
            <sz val="9"/>
            <color rgb="FF000000"/>
            <rFont val="Tahoma"/>
            <family val="2"/>
          </rPr>
          <t xml:space="preserve"> = (</t>
        </r>
        <r>
          <rPr>
            <b/>
            <sz val="9"/>
            <color rgb="FF000000"/>
            <rFont val="돋움"/>
            <family val="3"/>
            <charset val="129"/>
          </rPr>
          <t>내부인건비</t>
        </r>
        <r>
          <rPr>
            <b/>
            <sz val="9"/>
            <color rgb="FF000000"/>
            <rFont val="Tahoma"/>
            <family val="2"/>
          </rPr>
          <t>+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Tahoma"/>
            <family val="2"/>
          </rPr>
          <t xml:space="preserve">) / </t>
        </r>
        <r>
          <rPr>
            <b/>
            <sz val="9"/>
            <color rgb="FF000000"/>
            <rFont val="돋움"/>
            <family val="3"/>
            <charset val="129"/>
          </rPr>
          <t>총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연구비</t>
        </r>
      </text>
    </comment>
    <comment ref="Q29" authorId="1" shapeId="0" xr:uid="{00000000-0006-0000-0000-00000B000000}">
      <text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비율</t>
        </r>
        <r>
          <rPr>
            <b/>
            <sz val="9"/>
            <color rgb="FF000000"/>
            <rFont val="돋움"/>
            <family val="3"/>
            <charset val="129"/>
          </rPr>
          <t xml:space="preserve"> = 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돋움"/>
            <family val="3"/>
            <charset val="129"/>
          </rPr>
          <t xml:space="preserve"> / </t>
        </r>
        <r>
          <rPr>
            <b/>
            <sz val="9"/>
            <color rgb="FF000000"/>
            <rFont val="돋움"/>
            <family val="3"/>
            <charset val="129"/>
          </rPr>
          <t>미지급인건비</t>
        </r>
        <r>
          <rPr>
            <b/>
            <sz val="9"/>
            <color rgb="FF000000"/>
            <rFont val="돋움"/>
            <family val="3"/>
            <charset val="129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위탁연구개발비</t>
        </r>
        <r>
          <rPr>
            <b/>
            <sz val="9"/>
            <color rgb="FF000000"/>
            <rFont val="돋움"/>
            <family val="3"/>
            <charset val="129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연구개발부담비</t>
        </r>
        <r>
          <rPr>
            <b/>
            <sz val="9"/>
            <color rgb="FF000000"/>
            <rFont val="돋움"/>
            <family val="3"/>
            <charset val="129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국제공동연구개발비를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제외한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직접비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총금액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>(*</t>
        </r>
        <r>
          <rPr>
            <b/>
            <sz val="9"/>
            <color rgb="FF000000"/>
            <rFont val="돋움"/>
            <family val="3"/>
            <charset val="129"/>
          </rPr>
          <t>분모가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총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연구비가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아님</t>
        </r>
        <r>
          <rPr>
            <b/>
            <sz val="9"/>
            <color rgb="FF000000"/>
            <rFont val="돋움"/>
            <family val="3"/>
            <charset val="129"/>
          </rPr>
          <t>,</t>
        </r>
        <r>
          <rPr>
            <b/>
            <sz val="9"/>
            <color rgb="FF000000"/>
            <rFont val="돋움"/>
            <family val="3"/>
            <charset val="129"/>
          </rPr>
          <t>국가연구개발사업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연구개발비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사용기준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</t>
        </r>
        <r>
          <rPr>
            <b/>
            <sz val="9"/>
            <color rgb="FF000000"/>
            <rFont val="돋움"/>
            <family val="3"/>
            <charset val="129"/>
          </rPr>
          <t>2</t>
        </r>
        <r>
          <rPr>
            <b/>
            <sz val="9"/>
            <color rgb="FF000000"/>
            <rFont val="돋움"/>
            <family val="3"/>
            <charset val="129"/>
          </rPr>
          <t>조</t>
        </r>
        <r>
          <rPr>
            <b/>
            <sz val="9"/>
            <color rgb="FF000000"/>
            <rFont val="돋움"/>
            <family val="3"/>
            <charset val="129"/>
          </rPr>
          <t xml:space="preserve"> 9</t>
        </r>
        <r>
          <rPr>
            <b/>
            <sz val="9"/>
            <color rgb="FF000000"/>
            <rFont val="돋움"/>
            <family val="3"/>
            <charset val="129"/>
          </rPr>
          <t>호</t>
        </r>
        <r>
          <rPr>
            <b/>
            <sz val="9"/>
            <color rgb="FF000000"/>
            <rFont val="돋움"/>
            <family val="3"/>
            <charset val="129"/>
          </rPr>
          <t xml:space="preserve">)
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>&lt;1</t>
        </r>
        <r>
          <rPr>
            <b/>
            <sz val="9"/>
            <color rgb="FF000000"/>
            <rFont val="돋움"/>
            <family val="3"/>
            <charset val="129"/>
          </rPr>
          <t>순위</t>
        </r>
        <r>
          <rPr>
            <b/>
            <sz val="9"/>
            <color rgb="FF000000"/>
            <rFont val="돋움"/>
            <family val="3"/>
            <charset val="129"/>
          </rPr>
          <t xml:space="preserve">&gt; </t>
        </r>
        <r>
          <rPr>
            <b/>
            <sz val="9"/>
            <color rgb="FF000000"/>
            <rFont val="돋움"/>
            <family val="3"/>
            <charset val="129"/>
          </rPr>
          <t>사업공고문에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지급액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또는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비율이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고시된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경우</t>
        </r>
        <r>
          <rPr>
            <b/>
            <sz val="9"/>
            <color rgb="FF000000"/>
            <rFont val="돋움"/>
            <family val="3"/>
            <charset val="129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해당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금액</t>
        </r>
        <r>
          <rPr>
            <b/>
            <sz val="9"/>
            <color rgb="FF000000"/>
            <rFont val="돋움"/>
            <family val="3"/>
            <charset val="129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비율을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따른다</t>
        </r>
        <r>
          <rPr>
            <b/>
            <sz val="9"/>
            <color rgb="FF000000"/>
            <rFont val="돋움"/>
            <family val="3"/>
            <charset val="129"/>
          </rPr>
          <t xml:space="preserve">.
</t>
        </r>
        <r>
          <rPr>
            <b/>
            <sz val="9"/>
            <color rgb="FF000000"/>
            <rFont val="돋움"/>
            <family val="3"/>
            <charset val="129"/>
          </rPr>
          <t xml:space="preserve">-&gt; </t>
        </r>
        <r>
          <rPr>
            <b/>
            <sz val="9"/>
            <color rgb="FF000000"/>
            <rFont val="돋움"/>
            <family val="3"/>
            <charset val="129"/>
          </rPr>
          <t>해당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간접비율로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수정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입력하여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엑셀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활용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b/>
            <sz val="9"/>
            <color rgb="FF000000"/>
            <rFont val="돋움"/>
            <family val="3"/>
            <charset val="129"/>
          </rPr>
          <t>&lt;2</t>
        </r>
        <r>
          <rPr>
            <b/>
            <sz val="9"/>
            <color rgb="FF000000"/>
            <rFont val="돋움"/>
            <family val="3"/>
            <charset val="129"/>
          </rPr>
          <t>순위</t>
        </r>
        <r>
          <rPr>
            <b/>
            <sz val="9"/>
            <color rgb="FF000000"/>
            <rFont val="돋움"/>
            <family val="3"/>
            <charset val="129"/>
          </rPr>
          <t xml:space="preserve">&gt; 2022.12.21 </t>
        </r>
        <r>
          <rPr>
            <b/>
            <sz val="9"/>
            <color rgb="FF000000"/>
            <rFont val="돋움"/>
            <family val="3"/>
            <charset val="129"/>
          </rPr>
          <t>이전에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협약된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사업의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경우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협약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당시의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비율을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따른다</t>
        </r>
        <r>
          <rPr>
            <b/>
            <sz val="9"/>
            <color rgb="FF000000"/>
            <rFont val="돋움"/>
            <family val="3"/>
            <charset val="129"/>
          </rPr>
          <t xml:space="preserve">. -&gt; </t>
        </r>
        <r>
          <rPr>
            <b/>
            <sz val="9"/>
            <color rgb="FF000000"/>
            <rFont val="돋움"/>
            <family val="3"/>
            <charset val="129"/>
          </rPr>
          <t>해당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간접비율로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수정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입력하여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엑셀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활용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</text>
    </comment>
    <comment ref="R29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&lt;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비율이</t>
        </r>
        <r>
          <rPr>
            <b/>
            <sz val="9"/>
            <color rgb="FF000000"/>
            <rFont val="Tahoma"/>
            <family val="2"/>
          </rPr>
          <t xml:space="preserve"> '</t>
        </r>
        <r>
          <rPr>
            <b/>
            <sz val="9"/>
            <color rgb="FF000000"/>
            <rFont val="돋움"/>
            <family val="3"/>
            <charset val="129"/>
          </rPr>
          <t>연심대상</t>
        </r>
        <r>
          <rPr>
            <b/>
            <sz val="9"/>
            <color rgb="FF000000"/>
            <rFont val="Tahoma"/>
            <family val="2"/>
          </rPr>
          <t>'</t>
        </r>
        <r>
          <rPr>
            <b/>
            <sz val="9"/>
            <color rgb="FF000000"/>
            <rFont val="돋움"/>
            <family val="3"/>
            <charset val="129"/>
          </rPr>
          <t>으로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나오는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경우</t>
        </r>
        <r>
          <rPr>
            <b/>
            <sz val="9"/>
            <color rgb="FF000000"/>
            <rFont val="Tahoma"/>
            <family val="2"/>
          </rPr>
          <t>&gt;</t>
        </r>
        <r>
          <rPr>
            <b/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Tahoma"/>
            <family val="2"/>
          </rPr>
          <t>-&gt; D11</t>
        </r>
        <r>
          <rPr>
            <sz val="9"/>
            <color rgb="FF000000"/>
            <rFont val="돋움"/>
            <family val="3"/>
            <charset val="129"/>
          </rPr>
          <t>셀의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간접비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총액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조정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※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고시비율에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딱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맞는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간접비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적용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권장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초과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불인정</t>
        </r>
        <r>
          <rPr>
            <sz val="9"/>
            <color rgb="FF000000"/>
            <rFont val="Tahoma"/>
            <family val="2"/>
          </rPr>
          <t>)</t>
        </r>
      </text>
    </comment>
    <comment ref="Q33" authorId="1" shapeId="0" xr:uid="{00000000-0006-0000-0000-00000D000000}">
      <text>
        <r>
          <rPr>
            <b/>
            <sz val="9"/>
            <color rgb="FF000000"/>
            <rFont val="돋움"/>
            <family val="3"/>
            <charset val="129"/>
          </rPr>
          <t>총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인건비</t>
        </r>
        <r>
          <rPr>
            <sz val="9"/>
            <color rgb="FF000000"/>
            <rFont val="돋움"/>
            <family val="3"/>
            <charset val="129"/>
          </rPr>
          <t>(</t>
        </r>
        <r>
          <rPr>
            <sz val="9"/>
            <color rgb="FF000000"/>
            <rFont val="돋움"/>
            <family val="3"/>
            <charset val="129"/>
          </rPr>
          <t>미지급인건비</t>
        </r>
        <r>
          <rPr>
            <sz val="9"/>
            <color rgb="FF000000"/>
            <rFont val="돋움"/>
            <family val="3"/>
            <charset val="129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돋움"/>
            <family val="3"/>
            <charset val="129"/>
          </rPr>
          <t>)</t>
        </r>
        <r>
          <rPr>
            <b/>
            <sz val="9"/>
            <color rgb="FF000000"/>
            <rFont val="돋움"/>
            <family val="3"/>
            <charset val="129"/>
          </rPr>
          <t>의</t>
        </r>
        <r>
          <rPr>
            <b/>
            <sz val="9"/>
            <color rgb="FF000000"/>
            <rFont val="돋움"/>
            <family val="3"/>
            <charset val="129"/>
          </rPr>
          <t xml:space="preserve"> 20% </t>
        </r>
        <r>
          <rPr>
            <b/>
            <sz val="9"/>
            <color rgb="FF000000"/>
            <rFont val="돋움"/>
            <family val="3"/>
            <charset val="129"/>
          </rPr>
          <t>이하로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계상</t>
        </r>
        <r>
          <rPr>
            <b/>
            <sz val="9"/>
            <color rgb="FF000000"/>
            <rFont val="돋움"/>
            <family val="3"/>
            <charset val="129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단</t>
        </r>
        <r>
          <rPr>
            <b/>
            <sz val="9"/>
            <color rgb="FF000000"/>
            <rFont val="돋움"/>
            <family val="3"/>
            <charset val="129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연구근접지원인력인건비는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제외</t>
        </r>
      </text>
    </comment>
    <comment ref="Q35" authorId="1" shapeId="0" xr:uid="{00000000-0006-0000-0000-00000F000000}">
      <text>
        <r>
          <rPr>
            <b/>
            <sz val="9"/>
            <color rgb="FF000000"/>
            <rFont val="돋움"/>
            <family val="3"/>
            <charset val="129"/>
          </rPr>
          <t>총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인건비의</t>
        </r>
        <r>
          <rPr>
            <b/>
            <sz val="9"/>
            <color rgb="FF000000"/>
            <rFont val="돋움"/>
            <family val="3"/>
            <charset val="129"/>
          </rPr>
          <t xml:space="preserve"> 1~2%</t>
        </r>
        <r>
          <rPr>
            <b/>
            <sz val="9"/>
            <color rgb="FF000000"/>
            <rFont val="돋움"/>
            <family val="3"/>
            <charset val="129"/>
          </rPr>
          <t>로</t>
        </r>
        <r>
          <rPr>
            <b/>
            <sz val="9"/>
            <color rgb="FF000000"/>
            <rFont val="돋움"/>
            <family val="3"/>
            <charset val="129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계상</t>
        </r>
      </text>
    </comment>
    <comment ref="K36" authorId="0" shapeId="0" xr:uid="{E0568B5C-8AA6-4A0A-8081-5FE06FF8AA07}">
      <text>
        <r>
          <rPr>
            <b/>
            <sz val="9"/>
            <color rgb="FF000000"/>
            <rFont val="Tahoma"/>
            <family val="2"/>
          </rPr>
          <t>kasi: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외국에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소재한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정부ㆍ기관ㆍ단체에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소속된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등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연구개발과제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관련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전문성을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갖춘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연구자에게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지급하는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장려금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>체재비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등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해외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연구자의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국내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유치에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필요한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비용</t>
        </r>
      </text>
    </comment>
    <comment ref="Q37" authorId="1" shapeId="0" xr:uid="{00000000-0006-0000-0000-000010000000}">
      <text>
        <r>
          <rPr>
            <b/>
            <sz val="9"/>
            <color indexed="81"/>
            <rFont val="돋움"/>
            <family val="3"/>
            <charset val="129"/>
          </rPr>
          <t>위탁연구개발비 / (직접비 소계 - 위탁연구개발비 - 국제협력비)
의 비율이 40%를 초과할 수 없음
[혁신법 제27조 제1항]</t>
        </r>
      </text>
    </comment>
    <comment ref="C38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과세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(ex. </t>
        </r>
        <r>
          <rPr>
            <b/>
            <sz val="9"/>
            <color indexed="81"/>
            <rFont val="돋움"/>
            <family val="3"/>
            <charset val="129"/>
          </rPr>
          <t>연구용역사업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39" authorId="1" shapeId="0" xr:uid="{00000000-0006-0000-0000-000011000000}">
      <text>
        <r>
          <rPr>
            <b/>
            <sz val="9"/>
            <color rgb="FF000000"/>
            <rFont val="돋움"/>
            <family val="3"/>
            <charset val="129"/>
          </rPr>
          <t>전문기술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활용비</t>
        </r>
        <r>
          <rPr>
            <b/>
            <sz val="9"/>
            <color rgb="FF000000"/>
            <rFont val="Tahoma"/>
            <family val="2"/>
          </rPr>
          <t xml:space="preserve"> (</t>
        </r>
        <r>
          <rPr>
            <b/>
            <sz val="9"/>
            <color rgb="FF000000"/>
            <rFont val="돋움"/>
            <family val="3"/>
            <charset val="129"/>
          </rPr>
          <t>외부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전문가활용비</t>
        </r>
        <r>
          <rPr>
            <b/>
            <sz val="9"/>
            <color rgb="FF000000"/>
            <rFont val="Tahoma"/>
            <family val="2"/>
          </rPr>
          <t>(</t>
        </r>
        <r>
          <rPr>
            <b/>
            <sz val="9"/>
            <color rgb="FF000000"/>
            <rFont val="돋움"/>
            <family val="3"/>
            <charset val="129"/>
          </rPr>
          <t>원고료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강사료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자문료</t>
        </r>
        <r>
          <rPr>
            <b/>
            <sz val="9"/>
            <color rgb="FF000000"/>
            <rFont val="Tahoma"/>
            <family val="2"/>
          </rPr>
          <t xml:space="preserve">), </t>
        </r>
        <r>
          <rPr>
            <b/>
            <sz val="9"/>
            <color rgb="FF000000"/>
            <rFont val="돋움"/>
            <family val="3"/>
            <charset val="129"/>
          </rPr>
          <t>기술도입비</t>
        </r>
        <r>
          <rPr>
            <b/>
            <sz val="9"/>
            <color rgb="FF000000"/>
            <rFont val="Tahoma"/>
            <family val="2"/>
          </rPr>
          <t xml:space="preserve">, </t>
        </r>
        <r>
          <rPr>
            <b/>
            <sz val="9"/>
            <color rgb="FF000000"/>
            <rFont val="돋움"/>
            <family val="3"/>
            <charset val="129"/>
          </rPr>
          <t>연구개발서비스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활용비</t>
        </r>
        <r>
          <rPr>
            <b/>
            <sz val="9"/>
            <color rgb="FF000000"/>
            <rFont val="Tahoma"/>
            <family val="2"/>
          </rPr>
          <t>)</t>
        </r>
        <r>
          <rPr>
            <b/>
            <sz val="9"/>
            <color rgb="FF000000"/>
            <rFont val="돋움"/>
            <family val="3"/>
            <charset val="129"/>
          </rPr>
          <t>는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직접비의</t>
        </r>
        <r>
          <rPr>
            <b/>
            <sz val="9"/>
            <color rgb="FF000000"/>
            <rFont val="Tahoma"/>
            <family val="2"/>
          </rPr>
          <t xml:space="preserve"> 40% </t>
        </r>
        <r>
          <rPr>
            <b/>
            <sz val="9"/>
            <color rgb="FF000000"/>
            <rFont val="돋움"/>
            <family val="3"/>
            <charset val="129"/>
          </rPr>
          <t>이하로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계상할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있다</t>
        </r>
        <r>
          <rPr>
            <b/>
            <sz val="9"/>
            <color rgb="FF000000"/>
            <rFont val="Tahoma"/>
            <family val="2"/>
          </rPr>
          <t xml:space="preserve">.
</t>
        </r>
        <r>
          <rPr>
            <b/>
            <sz val="9"/>
            <color rgb="FF000000"/>
            <rFont val="돋움"/>
            <family val="3"/>
            <charset val="129"/>
          </rPr>
          <t>중앙행정기관의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장의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승인을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통해</t>
        </r>
        <r>
          <rPr>
            <b/>
            <sz val="9"/>
            <color rgb="FF000000"/>
            <rFont val="Tahoma"/>
            <family val="2"/>
          </rPr>
          <t xml:space="preserve"> 40% </t>
        </r>
        <r>
          <rPr>
            <b/>
            <sz val="9"/>
            <color rgb="FF000000"/>
            <rFont val="돋움"/>
            <family val="3"/>
            <charset val="129"/>
          </rPr>
          <t>이상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계상이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가능하다</t>
        </r>
        <r>
          <rPr>
            <b/>
            <sz val="9"/>
            <color rgb="FF000000"/>
            <rFont val="Tahoma"/>
            <family val="2"/>
          </rPr>
          <t xml:space="preserve">.
</t>
        </r>
        <r>
          <rPr>
            <b/>
            <sz val="9"/>
            <color rgb="FF000000"/>
            <rFont val="Tahoma"/>
            <family val="2"/>
          </rPr>
          <t>[</t>
        </r>
        <r>
          <rPr>
            <b/>
            <sz val="9"/>
            <color rgb="FF000000"/>
            <rFont val="돋움"/>
            <family val="3"/>
            <charset val="129"/>
          </rPr>
          <t>국가연구개발혁신법</t>
        </r>
        <r>
          <rPr>
            <b/>
            <sz val="9"/>
            <color rgb="FF000000"/>
            <rFont val="Tahoma"/>
            <family val="2"/>
          </rPr>
          <t xml:space="preserve">] </t>
        </r>
        <r>
          <rPr>
            <b/>
            <sz val="9"/>
            <color rgb="FF000000"/>
            <rFont val="돋움"/>
            <family val="3"/>
            <charset val="129"/>
          </rPr>
          <t>제</t>
        </r>
        <r>
          <rPr>
            <b/>
            <sz val="9"/>
            <color rgb="FF000000"/>
            <rFont val="Tahoma"/>
            <family val="2"/>
          </rPr>
          <t>25</t>
        </r>
        <r>
          <rPr>
            <b/>
            <sz val="9"/>
            <color rgb="FF000000"/>
            <rFont val="돋움"/>
            <family val="3"/>
            <charset val="129"/>
          </rPr>
          <t>조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제</t>
        </r>
        <r>
          <rPr>
            <b/>
            <sz val="9"/>
            <color rgb="FF000000"/>
            <rFont val="Tahoma"/>
            <family val="2"/>
          </rPr>
          <t>2</t>
        </r>
        <r>
          <rPr>
            <b/>
            <sz val="9"/>
            <color rgb="FF000000"/>
            <rFont val="돋움"/>
            <family val="3"/>
            <charset val="129"/>
          </rPr>
          <t>호</t>
        </r>
      </text>
    </comment>
    <comment ref="Q41" authorId="1" shapeId="0" xr:uid="{FC1E402F-FD67-4F3A-85F4-302904697977}">
      <text>
        <r>
          <rPr>
            <b/>
            <sz val="9"/>
            <color indexed="81"/>
            <rFont val="돋움"/>
            <family val="3"/>
            <charset val="129"/>
          </rPr>
          <t xml:space="preserve"> 보안과제를 수행하는 참여연구자별로 총 인건비</t>
        </r>
        <r>
          <rPr>
            <sz val="9"/>
            <color indexed="81"/>
            <rFont val="돋움"/>
            <family val="3"/>
            <charset val="129"/>
          </rPr>
          <t>(미지급인건비 포함)</t>
        </r>
        <r>
          <rPr>
            <b/>
            <sz val="9"/>
            <color indexed="81"/>
            <rFont val="돋움"/>
            <family val="3"/>
            <charset val="129"/>
          </rPr>
          <t>의 3퍼센트 범위 내에서 보안수당을 계상할 수 있음
국가연구개발사업 연구개발비 사용 기준 제26조의2</t>
        </r>
      </text>
    </comment>
  </commentList>
</comments>
</file>

<file path=xl/sharedStrings.xml><?xml version="1.0" encoding="utf-8"?>
<sst xmlns="http://schemas.openxmlformats.org/spreadsheetml/2006/main" count="233" uniqueCount="197">
  <si>
    <t>연구윤리활동비(수탁사업)</t>
    <phoneticPr fontId="1" type="noConversion"/>
  </si>
  <si>
    <t>연구보안관리비(수탁사업)</t>
    <phoneticPr fontId="1" type="noConversion"/>
  </si>
  <si>
    <t>연구실안전관리비(수탁사업)</t>
    <phoneticPr fontId="1" type="noConversion"/>
  </si>
  <si>
    <t>기관공통지원경비(수탁사업)</t>
    <phoneticPr fontId="1" type="noConversion"/>
  </si>
  <si>
    <t>연구지원비</t>
    <phoneticPr fontId="1" type="noConversion"/>
  </si>
  <si>
    <t>기술창업 출연 출자금(수탁사업)</t>
    <phoneticPr fontId="1" type="noConversion"/>
  </si>
  <si>
    <t>과학문화활동비(수탁사업)</t>
    <phoneticPr fontId="1" type="noConversion"/>
  </si>
  <si>
    <t>지식재산권 출원등록비(수탁사업)</t>
    <phoneticPr fontId="1" type="noConversion"/>
  </si>
  <si>
    <t>성과활용지원비</t>
    <phoneticPr fontId="1" type="noConversion"/>
  </si>
  <si>
    <t>간접비</t>
    <phoneticPr fontId="1" type="noConversion"/>
  </si>
  <si>
    <t>위탁연구개발비</t>
    <phoneticPr fontId="1" type="noConversion"/>
  </si>
  <si>
    <t>위탁연구개발비</t>
    <phoneticPr fontId="1" type="noConversion"/>
  </si>
  <si>
    <t>연구활동진흥비</t>
    <phoneticPr fontId="1" type="noConversion"/>
  </si>
  <si>
    <t>연구수당</t>
    <phoneticPr fontId="1" type="noConversion"/>
  </si>
  <si>
    <t>연구재료비</t>
    <phoneticPr fontId="1" type="noConversion"/>
  </si>
  <si>
    <t>사무장비구입비</t>
    <phoneticPr fontId="1" type="noConversion"/>
  </si>
  <si>
    <t>사무용품비</t>
    <phoneticPr fontId="1" type="noConversion"/>
  </si>
  <si>
    <t>회의비</t>
    <phoneticPr fontId="1" type="noConversion"/>
  </si>
  <si>
    <t>해외연구소 설치 및 운영</t>
    <phoneticPr fontId="1" type="noConversion"/>
  </si>
  <si>
    <t>특허관리비</t>
    <phoneticPr fontId="1" type="noConversion"/>
  </si>
  <si>
    <t>세부과제관리비</t>
    <phoneticPr fontId="1" type="noConversion"/>
  </si>
  <si>
    <t>시험분석료</t>
    <phoneticPr fontId="1" type="noConversion"/>
  </si>
  <si>
    <t>전문가활용비</t>
    <phoneticPr fontId="1" type="noConversion"/>
  </si>
  <si>
    <t>강사료</t>
    <phoneticPr fontId="1" type="noConversion"/>
  </si>
  <si>
    <t>원고료</t>
    <phoneticPr fontId="1" type="noConversion"/>
  </si>
  <si>
    <t>논문게재료</t>
    <phoneticPr fontId="1" type="noConversion"/>
  </si>
  <si>
    <t>기술도입비</t>
    <phoneticPr fontId="1" type="noConversion"/>
  </si>
  <si>
    <t>세미나(행사)개최비</t>
    <phoneticPr fontId="1" type="noConversion"/>
  </si>
  <si>
    <t>세미나참가비</t>
    <phoneticPr fontId="1" type="noConversion"/>
  </si>
  <si>
    <t>국내외훈련비</t>
    <phoneticPr fontId="1" type="noConversion"/>
  </si>
  <si>
    <t>수수료</t>
    <phoneticPr fontId="1" type="noConversion"/>
  </si>
  <si>
    <t>제세공과금</t>
    <phoneticPr fontId="1" type="noConversion"/>
  </si>
  <si>
    <t>유인물비</t>
    <phoneticPr fontId="1" type="noConversion"/>
  </si>
  <si>
    <t>국내여비</t>
    <phoneticPr fontId="1" type="noConversion"/>
  </si>
  <si>
    <t>국외여비</t>
    <phoneticPr fontId="1" type="noConversion"/>
  </si>
  <si>
    <t>연구활동비</t>
    <phoneticPr fontId="1" type="noConversion"/>
  </si>
  <si>
    <t>연구시설장비임대차비</t>
    <phoneticPr fontId="1" type="noConversion"/>
  </si>
  <si>
    <t>연구장비유지비</t>
    <phoneticPr fontId="1" type="noConversion"/>
  </si>
  <si>
    <t>연구시설비</t>
    <phoneticPr fontId="1" type="noConversion"/>
  </si>
  <si>
    <t>연구장비구입비</t>
    <phoneticPr fontId="1" type="noConversion"/>
  </si>
  <si>
    <t>연구시설/장비비</t>
    <phoneticPr fontId="1" type="noConversion"/>
  </si>
  <si>
    <t>학생인건비</t>
    <phoneticPr fontId="1" type="noConversion"/>
  </si>
  <si>
    <t>외부인건비</t>
    <phoneticPr fontId="1" type="noConversion"/>
  </si>
  <si>
    <t>내부인건비</t>
    <phoneticPr fontId="1" type="noConversion"/>
  </si>
  <si>
    <t>인건비</t>
    <phoneticPr fontId="1" type="noConversion"/>
  </si>
  <si>
    <t>직접비</t>
    <phoneticPr fontId="1" type="noConversion"/>
  </si>
  <si>
    <t>세세목</t>
    <phoneticPr fontId="1" type="noConversion"/>
  </si>
  <si>
    <t>세목</t>
    <phoneticPr fontId="1" type="noConversion"/>
  </si>
  <si>
    <t>비목</t>
    <phoneticPr fontId="1" type="noConversion"/>
  </si>
  <si>
    <t>미지급인건비</t>
    <phoneticPr fontId="1" type="noConversion"/>
  </si>
  <si>
    <t>간접비 소계</t>
    <phoneticPr fontId="1" type="noConversion"/>
  </si>
  <si>
    <t>직접비 소계</t>
    <phoneticPr fontId="1" type="noConversion"/>
  </si>
  <si>
    <t>연구비 총액</t>
    <phoneticPr fontId="1" type="noConversion"/>
  </si>
  <si>
    <t>간접비 소계</t>
    <phoneticPr fontId="1" type="noConversion"/>
  </si>
  <si>
    <t>ㅇ 간접성경비 비율 (40% 이상)</t>
    <phoneticPr fontId="1" type="noConversion"/>
  </si>
  <si>
    <t>협약 연구비</t>
    <phoneticPr fontId="1" type="noConversion"/>
  </si>
  <si>
    <t>연구실안전관리비</t>
    <phoneticPr fontId="1" type="noConversion"/>
  </si>
  <si>
    <t>기타 간접비</t>
    <phoneticPr fontId="1" type="noConversion"/>
  </si>
  <si>
    <t>직접비</t>
    <phoneticPr fontId="1" type="noConversion"/>
  </si>
  <si>
    <t>부가가치세</t>
    <phoneticPr fontId="1" type="noConversion"/>
  </si>
  <si>
    <t>연구업무심의회 생략 조건</t>
    <phoneticPr fontId="1" type="noConversion"/>
  </si>
  <si>
    <t>코드번호</t>
    <phoneticPr fontId="1" type="noConversion"/>
  </si>
  <si>
    <t>2번 코드(국가연구개발사업)</t>
    <phoneticPr fontId="1" type="noConversion"/>
  </si>
  <si>
    <t>선수금(특)</t>
    <phoneticPr fontId="1" type="noConversion"/>
  </si>
  <si>
    <t>내부인건비 제외 직접비</t>
    <phoneticPr fontId="1" type="noConversion"/>
  </si>
  <si>
    <t>선수금(연구실안전관리비)</t>
    <phoneticPr fontId="1" type="noConversion"/>
  </si>
  <si>
    <t>선수금(특허출원비)</t>
    <phoneticPr fontId="1" type="noConversion"/>
  </si>
  <si>
    <t>선수금(과학문화활동비)</t>
    <phoneticPr fontId="1" type="noConversion"/>
  </si>
  <si>
    <t>예수금(부가가치세)</t>
    <phoneticPr fontId="1" type="noConversion"/>
  </si>
  <si>
    <t>선수금(수)</t>
    <phoneticPr fontId="1" type="noConversion"/>
  </si>
  <si>
    <t>선수금(연구실안전관리비)</t>
  </si>
  <si>
    <t>예수금(부가가치세)</t>
  </si>
  <si>
    <t>ㅇ *연구실안전관리비 (1~2%)</t>
    <phoneticPr fontId="1" type="noConversion"/>
  </si>
  <si>
    <t>ㅇ *위탁연구개발비 (40% 이하)</t>
    <phoneticPr fontId="1" type="noConversion"/>
  </si>
  <si>
    <t>인건비 (미지급 제외)</t>
    <phoneticPr fontId="1" type="noConversion"/>
  </si>
  <si>
    <t>ㅇ *연구수당 (20% 이하)</t>
    <phoneticPr fontId="1" type="noConversion"/>
  </si>
  <si>
    <t>2. 다음 입력 사항</t>
    <phoneticPr fontId="1" type="noConversion"/>
  </si>
  <si>
    <t>1. 우선 입력 후 확인 사항</t>
    <phoneticPr fontId="1" type="noConversion"/>
  </si>
  <si>
    <t>차액</t>
    <phoneticPr fontId="1" type="noConversion"/>
  </si>
  <si>
    <t>천원</t>
    <phoneticPr fontId="1" type="noConversion"/>
  </si>
  <si>
    <t>비목</t>
    <phoneticPr fontId="1" type="noConversion"/>
  </si>
  <si>
    <t>세목</t>
    <phoneticPr fontId="1" type="noConversion"/>
  </si>
  <si>
    <t>사업명</t>
    <phoneticPr fontId="1" type="noConversion"/>
  </si>
  <si>
    <t>당해/전체 연구기간</t>
    <phoneticPr fontId="1" type="noConversion"/>
  </si>
  <si>
    <t>당해/전체 연구비</t>
    <phoneticPr fontId="1" type="noConversion"/>
  </si>
  <si>
    <t>과제책임자</t>
    <phoneticPr fontId="1" type="noConversion"/>
  </si>
  <si>
    <t>과제명</t>
    <phoneticPr fontId="1" type="noConversion"/>
  </si>
  <si>
    <t>직접비</t>
    <phoneticPr fontId="1" type="noConversion"/>
  </si>
  <si>
    <t>인건비</t>
    <phoneticPr fontId="1" type="noConversion"/>
  </si>
  <si>
    <t>세세목</t>
    <phoneticPr fontId="1" type="noConversion"/>
  </si>
  <si>
    <t>내부인건비</t>
    <phoneticPr fontId="1" type="noConversion"/>
  </si>
  <si>
    <t>기타인건비</t>
    <phoneticPr fontId="1" type="noConversion"/>
  </si>
  <si>
    <t>미지급인건비</t>
    <phoneticPr fontId="1" type="noConversion"/>
  </si>
  <si>
    <t>연구시설/장비비</t>
    <phoneticPr fontId="1" type="noConversion"/>
  </si>
  <si>
    <t>연구활동비</t>
    <phoneticPr fontId="1" type="noConversion"/>
  </si>
  <si>
    <t>연구재료비</t>
    <phoneticPr fontId="1" type="noConversion"/>
  </si>
  <si>
    <t>연구수당</t>
    <phoneticPr fontId="1" type="noConversion"/>
  </si>
  <si>
    <t>위탁연구개발비</t>
    <phoneticPr fontId="1" type="noConversion"/>
  </si>
  <si>
    <t>간접비</t>
    <phoneticPr fontId="1" type="noConversion"/>
  </si>
  <si>
    <t>기관공통지원경비</t>
    <phoneticPr fontId="1" type="noConversion"/>
  </si>
  <si>
    <t>연구실안전관리비</t>
    <phoneticPr fontId="1" type="noConversion"/>
  </si>
  <si>
    <t>기타 간접비</t>
    <phoneticPr fontId="1" type="noConversion"/>
  </si>
  <si>
    <t>직접비 소계</t>
    <phoneticPr fontId="1" type="noConversion"/>
  </si>
  <si>
    <t>간접비 소계</t>
    <phoneticPr fontId="1" type="noConversion"/>
  </si>
  <si>
    <t>총 연구비</t>
    <phoneticPr fontId="1" type="noConversion"/>
  </si>
  <si>
    <t>부가가치세</t>
    <phoneticPr fontId="1" type="noConversion"/>
  </si>
  <si>
    <t>간접비 비율</t>
    <phoneticPr fontId="1" type="noConversion"/>
  </si>
  <si>
    <t>간접성경비 비율 (총연구비의 40% 이상)</t>
    <phoneticPr fontId="1" type="noConversion"/>
  </si>
  <si>
    <t>위탁연구개발비 (직접비의 40% 이하)</t>
    <phoneticPr fontId="1" type="noConversion"/>
  </si>
  <si>
    <t>과기부 공동관리규정 적정성 검토</t>
    <phoneticPr fontId="1" type="noConversion"/>
  </si>
  <si>
    <t>연구실안전관리비 (인건비의 1~2%)</t>
    <phoneticPr fontId="1" type="noConversion"/>
  </si>
  <si>
    <t>연구수당 (인건비의 20% 이하)</t>
    <phoneticPr fontId="1" type="noConversion"/>
  </si>
  <si>
    <t>총 연구비 10억원 미만</t>
    <phoneticPr fontId="1" type="noConversion"/>
  </si>
  <si>
    <t>연구업무심의회 적정성 검토</t>
    <phoneticPr fontId="1" type="noConversion"/>
  </si>
  <si>
    <t>적정성</t>
    <phoneticPr fontId="1" type="noConversion"/>
  </si>
  <si>
    <t>비고</t>
    <phoneticPr fontId="1" type="noConversion"/>
  </si>
  <si>
    <t>총 연구비(천원)</t>
    <phoneticPr fontId="1" type="noConversion"/>
  </si>
  <si>
    <t>간접성경비 비율</t>
    <phoneticPr fontId="1" type="noConversion"/>
  </si>
  <si>
    <t>내 용</t>
    <phoneticPr fontId="1" type="noConversion"/>
  </si>
  <si>
    <t>연구수당 비율</t>
    <phoneticPr fontId="1" type="noConversion"/>
  </si>
  <si>
    <t>위탁연구비 비율</t>
    <phoneticPr fontId="1" type="noConversion"/>
  </si>
  <si>
    <t>안전관리비 비율</t>
    <phoneticPr fontId="1" type="noConversion"/>
  </si>
  <si>
    <t>연구비총괄표</t>
    <phoneticPr fontId="1" type="noConversion"/>
  </si>
  <si>
    <t>원</t>
    <phoneticPr fontId="1" type="noConversion"/>
  </si>
  <si>
    <t>개인 메모/계산용</t>
    <phoneticPr fontId="1" type="noConversion"/>
  </si>
  <si>
    <t>기결정보(회계팀)</t>
    <phoneticPr fontId="1" type="noConversion"/>
  </si>
  <si>
    <t>기결번호</t>
    <phoneticPr fontId="1" type="noConversion"/>
  </si>
  <si>
    <t>기결일자</t>
    <phoneticPr fontId="1" type="noConversion"/>
  </si>
  <si>
    <t>회계계정</t>
    <phoneticPr fontId="1" type="noConversion"/>
  </si>
  <si>
    <t>금액(원)</t>
    <phoneticPr fontId="1" type="noConversion"/>
  </si>
  <si>
    <t>비고</t>
    <phoneticPr fontId="1" type="noConversion"/>
  </si>
  <si>
    <t>총액 (부가세 포함)</t>
    <phoneticPr fontId="1" type="noConversion"/>
  </si>
  <si>
    <t>적요</t>
    <phoneticPr fontId="1" type="noConversion"/>
  </si>
  <si>
    <t>입력단위</t>
    <phoneticPr fontId="1" type="noConversion"/>
  </si>
  <si>
    <t>ㅇ *전문기술 활용비 (40% 이하)</t>
    <phoneticPr fontId="1" type="noConversion"/>
  </si>
  <si>
    <r>
      <t>직접비 소계</t>
    </r>
    <r>
      <rPr>
        <sz val="10"/>
        <color theme="1"/>
        <rFont val="맑은 고딕"/>
        <family val="3"/>
        <charset val="129"/>
        <scheme val="minor"/>
      </rPr>
      <t xml:space="preserve"> (</t>
    </r>
    <r>
      <rPr>
        <sz val="10"/>
        <color rgb="FFFF0000"/>
        <rFont val="맑은 고딕"/>
        <family val="3"/>
        <charset val="129"/>
        <scheme val="minor"/>
      </rPr>
      <t>미지급인건비 제외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</si>
  <si>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전체</t>
    </r>
    <r>
      <rPr>
        <sz val="10"/>
        <color theme="1"/>
        <rFont val="맑은 고딕"/>
        <family val="3"/>
        <charset val="129"/>
        <scheme val="minor"/>
      </rPr>
      <t xml:space="preserve"> 차수 연구비 총액 </t>
    </r>
    <r>
      <rPr>
        <sz val="8"/>
        <color theme="1"/>
        <rFont val="맑은 고딕"/>
        <family val="3"/>
        <charset val="129"/>
        <scheme val="minor"/>
      </rPr>
      <t>(</t>
    </r>
    <r>
      <rPr>
        <sz val="8"/>
        <color rgb="FFFF0000"/>
        <rFont val="맑은 고딕"/>
        <family val="3"/>
        <charset val="129"/>
        <scheme val="minor"/>
      </rPr>
      <t>미지급인건비</t>
    </r>
    <r>
      <rPr>
        <sz val="8"/>
        <color theme="1"/>
        <rFont val="맑은 고딕"/>
        <family val="3"/>
        <charset val="129"/>
        <scheme val="minor"/>
      </rPr>
      <t>,</t>
    </r>
    <r>
      <rPr>
        <sz val="8"/>
        <color rgb="FFFF0000"/>
        <rFont val="맑은 고딕"/>
        <family val="3"/>
        <charset val="129"/>
        <scheme val="minor"/>
      </rPr>
      <t xml:space="preserve"> 부가세</t>
    </r>
    <r>
      <rPr>
        <sz val="8"/>
        <color theme="1"/>
        <rFont val="맑은 고딕"/>
        <family val="3"/>
        <charset val="129"/>
        <scheme val="minor"/>
      </rPr>
      <t xml:space="preserve"> 제외)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</si>
  <si>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당</t>
    </r>
    <r>
      <rPr>
        <sz val="10"/>
        <color theme="1"/>
        <rFont val="맑은 고딕"/>
        <family val="3"/>
        <charset val="129"/>
        <scheme val="minor"/>
      </rPr>
      <t xml:space="preserve"> 차수 연구비 총액 </t>
    </r>
    <r>
      <rPr>
        <sz val="8"/>
        <color theme="1"/>
        <rFont val="맑은 고딕"/>
        <family val="3"/>
        <charset val="129"/>
        <scheme val="minor"/>
      </rPr>
      <t>(</t>
    </r>
    <r>
      <rPr>
        <sz val="8"/>
        <color rgb="FFFF0000"/>
        <rFont val="맑은 고딕"/>
        <family val="3"/>
        <charset val="129"/>
        <scheme val="minor"/>
      </rPr>
      <t>미지급인건비</t>
    </r>
    <r>
      <rPr>
        <sz val="8"/>
        <color theme="1"/>
        <rFont val="맑은 고딕"/>
        <family val="3"/>
        <charset val="129"/>
        <scheme val="minor"/>
      </rPr>
      <t xml:space="preserve">, </t>
    </r>
    <r>
      <rPr>
        <sz val="8"/>
        <color rgb="FFFF0000"/>
        <rFont val="맑은 고딕"/>
        <family val="3"/>
        <charset val="129"/>
        <scheme val="minor"/>
      </rPr>
      <t>부가세</t>
    </r>
    <r>
      <rPr>
        <sz val="8"/>
        <color theme="1"/>
        <rFont val="맑은 고딕"/>
        <family val="3"/>
        <charset val="129"/>
        <scheme val="minor"/>
      </rPr>
      <t xml:space="preserve"> 제외)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</si>
  <si>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간접비</t>
    </r>
    <r>
      <rPr>
        <sz val="10"/>
        <color theme="1"/>
        <rFont val="맑은 고딕"/>
        <family val="3"/>
        <charset val="129"/>
        <scheme val="minor"/>
      </rPr>
      <t xml:space="preserve"> 적용비율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</si>
  <si>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연구실안전관리비</t>
    </r>
    <r>
      <rPr>
        <sz val="10"/>
        <color theme="1"/>
        <rFont val="맑은 고딕"/>
        <family val="3"/>
        <charset val="129"/>
        <scheme val="minor"/>
      </rPr>
      <t xml:space="preserve"> 비율</t>
    </r>
    <phoneticPr fontId="1" type="noConversion"/>
  </si>
  <si>
    <r>
      <t xml:space="preserve">권장 </t>
    </r>
    <r>
      <rPr>
        <b/>
        <sz val="10"/>
        <color theme="1"/>
        <rFont val="맑은 고딕"/>
        <family val="3"/>
        <charset val="129"/>
        <scheme val="minor"/>
      </rPr>
      <t>직접비</t>
    </r>
    <r>
      <rPr>
        <sz val="10"/>
        <color theme="1"/>
        <rFont val="맑은 고딕"/>
        <family val="3"/>
        <charset val="129"/>
        <scheme val="minor"/>
      </rPr>
      <t xml:space="preserve"> 총액</t>
    </r>
    <phoneticPr fontId="1" type="noConversion"/>
  </si>
  <si>
    <r>
      <t xml:space="preserve">권장 </t>
    </r>
    <r>
      <rPr>
        <b/>
        <sz val="10"/>
        <color theme="1"/>
        <rFont val="맑은 고딕"/>
        <family val="3"/>
        <charset val="129"/>
        <scheme val="minor"/>
      </rPr>
      <t>간접비</t>
    </r>
    <r>
      <rPr>
        <sz val="10"/>
        <color theme="1"/>
        <rFont val="맑은 고딕"/>
        <family val="3"/>
        <charset val="129"/>
        <scheme val="minor"/>
      </rPr>
      <t xml:space="preserve"> 총액</t>
    </r>
    <phoneticPr fontId="1" type="noConversion"/>
  </si>
  <si>
    <r>
      <t xml:space="preserve">최소 </t>
    </r>
    <r>
      <rPr>
        <b/>
        <sz val="10"/>
        <color theme="1"/>
        <rFont val="맑은 고딕"/>
        <family val="3"/>
        <charset val="129"/>
        <scheme val="minor"/>
      </rPr>
      <t>내부인건비</t>
    </r>
    <r>
      <rPr>
        <sz val="10"/>
        <color theme="1"/>
        <rFont val="맑은 고딕"/>
        <family val="3"/>
        <charset val="129"/>
        <scheme val="minor"/>
      </rPr>
      <t xml:space="preserve"> 권장액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</si>
  <si>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연구수당</t>
    </r>
    <r>
      <rPr>
        <sz val="10"/>
        <color theme="1"/>
        <rFont val="맑은 고딕"/>
        <family val="3"/>
        <charset val="129"/>
        <scheme val="minor"/>
      </rPr>
      <t xml:space="preserve"> 한도액</t>
    </r>
    <phoneticPr fontId="1" type="noConversion"/>
  </si>
  <si>
    <r>
      <t>연구비 총액</t>
    </r>
    <r>
      <rPr>
        <sz val="10"/>
        <color theme="1"/>
        <rFont val="맑은 고딕"/>
        <family val="3"/>
        <charset val="129"/>
        <scheme val="minor"/>
      </rPr>
      <t xml:space="preserve"> (</t>
    </r>
    <r>
      <rPr>
        <sz val="10"/>
        <color rgb="FFFF0000"/>
        <rFont val="맑은 고딕"/>
        <family val="3"/>
        <charset val="129"/>
        <scheme val="minor"/>
      </rPr>
      <t>미지급인건비, 부가세 제외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</si>
  <si>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r>
      <t xml:space="preserve">K열, Q열의 </t>
    </r>
    <r>
      <rPr>
        <b/>
        <sz val="10"/>
        <color theme="1"/>
        <rFont val="맑은 고딕"/>
        <family val="3"/>
        <charset val="129"/>
        <scheme val="minor"/>
      </rPr>
      <t>노란색 셀</t>
    </r>
    <r>
      <rPr>
        <sz val="10"/>
        <color theme="1"/>
        <rFont val="맑은 고딕"/>
        <family val="3"/>
        <charset val="129"/>
        <scheme val="minor"/>
      </rPr>
      <t xml:space="preserve"> 입력</t>
    </r>
    <phoneticPr fontId="1" type="noConversion"/>
  </si>
  <si>
    <r>
      <t>연구비 총액</t>
    </r>
    <r>
      <rPr>
        <sz val="10"/>
        <color theme="1"/>
        <rFont val="맑은 고딕"/>
        <family val="3"/>
        <charset val="129"/>
        <scheme val="minor"/>
      </rPr>
      <t xml:space="preserve"> (</t>
    </r>
    <r>
      <rPr>
        <sz val="10"/>
        <color rgb="FFFF0000"/>
        <rFont val="맑은 고딕"/>
        <family val="3"/>
        <charset val="129"/>
        <scheme val="minor"/>
      </rPr>
      <t>미지급인건비 제외</t>
    </r>
    <r>
      <rPr>
        <sz val="10"/>
        <color theme="1"/>
        <rFont val="맑은 고딕"/>
        <family val="3"/>
        <charset val="129"/>
        <scheme val="minor"/>
      </rPr>
      <t>)</t>
    </r>
    <phoneticPr fontId="1" type="noConversion"/>
  </si>
  <si>
    <r>
      <t>협약 연구비와 차액 파악용</t>
    </r>
    <r>
      <rPr>
        <sz val="12"/>
        <color rgb="FF0000FF"/>
        <rFont val="맑은 고딕"/>
        <family val="3"/>
        <charset val="129"/>
        <scheme val="minor"/>
      </rPr>
      <t xml:space="preserve"> (Optional)</t>
    </r>
    <phoneticPr fontId="1" type="noConversion"/>
  </si>
  <si>
    <r>
      <rPr>
        <sz val="10"/>
        <color rgb="FFFF0000"/>
        <rFont val="맑은 고딕"/>
        <family val="3"/>
        <charset val="129"/>
        <scheme val="minor"/>
      </rPr>
      <t>*</t>
    </r>
    <r>
      <rPr>
        <b/>
        <sz val="10"/>
        <color theme="1"/>
        <rFont val="맑은 고딕"/>
        <family val="3"/>
        <charset val="129"/>
        <scheme val="minor"/>
      </rPr>
      <t>국가연구개발혁신법</t>
    </r>
    <phoneticPr fontId="1" type="noConversion"/>
  </si>
  <si>
    <t>※ 작성 전 확인 ※ (노란셀만 수정)</t>
    <phoneticPr fontId="1" type="noConversion"/>
  </si>
  <si>
    <t>&lt;업데이트&gt;
2021.02.23. 위탁연구비 고려 간접비 계산
2021.03.16. 간접비율,간접성경비비율,위탁연구비 등 if문 삭제 (직관성 확보 목적)
2021.06.22. 간접성경비 계산에 부가세 포함되지 않도록 변경
2021.12.15.
국제협력비 수정</t>
    <phoneticPr fontId="1" type="noConversion"/>
  </si>
  <si>
    <t>연구개발서비스활용비</t>
    <phoneticPr fontId="1" type="noConversion"/>
  </si>
  <si>
    <t>보안수당</t>
    <phoneticPr fontId="1" type="noConversion"/>
  </si>
  <si>
    <t>보안수당</t>
    <phoneticPr fontId="1" type="noConversion"/>
  </si>
  <si>
    <t>ㅇ *보안수당 (3% 이하)</t>
    <phoneticPr fontId="1" type="noConversion"/>
  </si>
  <si>
    <t>소프트웨어활용비</t>
    <phoneticPr fontId="1" type="noConversion"/>
  </si>
  <si>
    <t>연구재료 구입비</t>
    <phoneticPr fontId="1" type="noConversion"/>
  </si>
  <si>
    <t>연구개발과제 관리비(전산처리비)</t>
    <phoneticPr fontId="1" type="noConversion"/>
  </si>
  <si>
    <t>연구재료 제작비</t>
    <phoneticPr fontId="1" type="noConversion"/>
  </si>
  <si>
    <t>연구개발부담비</t>
    <phoneticPr fontId="1" type="noConversion"/>
  </si>
  <si>
    <t>지식재산창출활동비</t>
    <phoneticPr fontId="1" type="noConversion"/>
  </si>
  <si>
    <t>연구실환경유지비</t>
    <phoneticPr fontId="1" type="noConversion"/>
  </si>
  <si>
    <t>문헌구입비</t>
    <phoneticPr fontId="1" type="noConversion"/>
  </si>
  <si>
    <t>국제공동연구개발비</t>
    <phoneticPr fontId="1" type="noConversion"/>
  </si>
  <si>
    <t>해외 연구자 유치지원비</t>
    <phoneticPr fontId="1" type="noConversion"/>
  </si>
  <si>
    <r>
      <t>3~</t>
    </r>
    <r>
      <rPr>
        <b/>
        <sz val="10"/>
        <color rgb="FFFF0000"/>
        <rFont val="맑은 고딕"/>
        <family val="3"/>
        <charset val="129"/>
      </rPr>
      <t>9</t>
    </r>
    <r>
      <rPr>
        <b/>
        <sz val="10"/>
        <color rgb="FFFF0000"/>
        <rFont val="나눔고딕"/>
        <family val="3"/>
        <charset val="129"/>
      </rPr>
      <t>번 코드(공공, 민간, 국제</t>
    </r>
    <r>
      <rPr>
        <b/>
        <sz val="10"/>
        <color rgb="FFFF0000"/>
        <rFont val="맑은 고딕"/>
        <family val="3"/>
        <charset val="129"/>
      </rPr>
      <t>, 연구용역</t>
    </r>
    <r>
      <rPr>
        <b/>
        <sz val="10"/>
        <color rgb="FFFF0000"/>
        <rFont val="나눔고딕"/>
        <family val="3"/>
        <charset val="129"/>
      </rPr>
      <t>)</t>
    </r>
    <phoneticPr fontId="1" type="noConversion"/>
  </si>
  <si>
    <t>선수금(특정수탁-직접비)</t>
    <phoneticPr fontId="1" type="noConversion"/>
  </si>
  <si>
    <t>선수금(수탁-내부인건비)</t>
    <phoneticPr fontId="1" type="noConversion"/>
  </si>
  <si>
    <t>선수금(수탁-공통지원경비)</t>
    <phoneticPr fontId="1" type="noConversion"/>
  </si>
  <si>
    <t>선수금(특정수탁-이자재투자)</t>
    <phoneticPr fontId="1" type="noConversion"/>
  </si>
  <si>
    <t>간접비</t>
    <phoneticPr fontId="1" type="noConversion"/>
  </si>
  <si>
    <t>간접비(기관공통지원경비)</t>
    <phoneticPr fontId="1" type="noConversion"/>
  </si>
  <si>
    <t>간접비
(지식재산권 출원등록비)</t>
    <phoneticPr fontId="1" type="noConversion"/>
  </si>
  <si>
    <t>선수금(일반수탁-직접비)</t>
    <phoneticPr fontId="1" type="noConversion"/>
  </si>
  <si>
    <t>선수금(일반수탁-이자재투자)</t>
    <phoneticPr fontId="1" type="noConversion"/>
  </si>
  <si>
    <t>간접비(연구실안전관리비)</t>
    <phoneticPr fontId="1" type="noConversion"/>
  </si>
  <si>
    <t>연구활동지원금(수탁사업)</t>
    <phoneticPr fontId="1" type="noConversion"/>
  </si>
  <si>
    <t>기반시설ㆍ장비구축ㆍ운영비(수탁사업)</t>
    <phoneticPr fontId="1" type="noConversion"/>
  </si>
  <si>
    <t>일용직 활용비</t>
    <phoneticPr fontId="1" type="noConversion"/>
  </si>
  <si>
    <t>간접비 비율 (직접비의 19.06%)</t>
    <phoneticPr fontId="1" type="noConversion"/>
  </si>
  <si>
    <t>100,000,000원</t>
  </si>
  <si>
    <t>12 개월</t>
    <phoneticPr fontId="1" type="noConversion"/>
  </si>
  <si>
    <t>천원</t>
  </si>
  <si>
    <t>구분</t>
    <phoneticPr fontId="1" type="noConversion"/>
  </si>
  <si>
    <t>성명</t>
    <phoneticPr fontId="1" type="noConversion"/>
  </si>
  <si>
    <t>참여시작일</t>
    <phoneticPr fontId="1" type="noConversion"/>
  </si>
  <si>
    <t>참여종료일</t>
    <phoneticPr fontId="1" type="noConversion"/>
  </si>
  <si>
    <t>참여개월수</t>
    <phoneticPr fontId="1" type="noConversion"/>
  </si>
  <si>
    <t>인건비계상률</t>
    <phoneticPr fontId="1" type="noConversion"/>
  </si>
  <si>
    <t>사번</t>
    <phoneticPr fontId="1" type="noConversion"/>
  </si>
  <si>
    <t>내부인건비</t>
  </si>
  <si>
    <t>학생인건비</t>
  </si>
  <si>
    <t>외부인건비</t>
  </si>
  <si>
    <t>미지급인건비</t>
  </si>
  <si>
    <t>추정인건비 (단위:  원)</t>
    <phoneticPr fontId="1" type="noConversion"/>
  </si>
  <si>
    <t>인건비(단위 : 원)</t>
    <phoneticPr fontId="1" type="noConversion"/>
  </si>
  <si>
    <t>1. 추정인건비는 사업관리실 담당자 박진아선생님께 참여자들의 추정인건비 정보 요청
 - 추정인건비는 해당참여자에게 지급하는 급여(4대보험금, 기관/개인부담금 및 퇴직금 포함)
2. 기간별 참여율이 변경되는 경우는 구분하여 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</si>
</sst>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"/>
    <numFmt numFmtId="177" formatCode="#,##0_ ;[Red]\-#,##0\ "/>
  </numFmts>
  <fonts count="4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나눔고딕"/>
      <family val="3"/>
      <charset val="129"/>
    </font>
    <font>
      <b/>
      <sz val="10"/>
      <name val="나눔고딕"/>
      <family val="3"/>
      <charset val="129"/>
    </font>
    <font>
      <sz val="28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2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u/>
      <sz val="10"/>
      <color theme="1"/>
      <name val="한컴 고딕"/>
      <family val="3"/>
      <charset val="129"/>
    </font>
    <font>
      <sz val="10"/>
      <color theme="1"/>
      <name val="한컴 고딕"/>
      <family val="3"/>
      <charset val="129"/>
    </font>
    <font>
      <sz val="10"/>
      <color rgb="FFFF0000"/>
      <name val="한컴 고딕"/>
      <family val="3"/>
      <charset val="129"/>
    </font>
    <font>
      <sz val="10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8.5"/>
      <color theme="1"/>
      <name val="맑은 고딕"/>
      <family val="2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</fills>
  <borders count="1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thick">
        <color rgb="FF0000FF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00FF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341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8" borderId="0" xfId="0" applyFont="1" applyFill="1">
      <alignment vertical="center"/>
    </xf>
    <xf numFmtId="0" fontId="13" fillId="13" borderId="85" xfId="0" applyFont="1" applyFill="1" applyBorder="1" applyAlignment="1">
      <alignment horizontal="center" vertical="center"/>
    </xf>
    <xf numFmtId="0" fontId="13" fillId="13" borderId="83" xfId="0" applyFont="1" applyFill="1" applyBorder="1" applyAlignment="1">
      <alignment horizontal="center" vertical="center"/>
    </xf>
    <xf numFmtId="0" fontId="13" fillId="12" borderId="0" xfId="0" applyFont="1" applyFill="1">
      <alignment vertical="center"/>
    </xf>
    <xf numFmtId="0" fontId="13" fillId="12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0" fontId="13" fillId="0" borderId="78" xfId="0" applyFont="1" applyBorder="1" applyAlignment="1">
      <alignment horizontal="center" vertical="center"/>
    </xf>
    <xf numFmtId="177" fontId="13" fillId="0" borderId="77" xfId="0" applyNumberFormat="1" applyFont="1" applyBorder="1">
      <alignment vertical="center"/>
    </xf>
    <xf numFmtId="0" fontId="13" fillId="0" borderId="7" xfId="0" applyFont="1" applyBorder="1">
      <alignment vertical="center"/>
    </xf>
    <xf numFmtId="0" fontId="13" fillId="0" borderId="81" xfId="0" applyFont="1" applyBorder="1" applyAlignment="1">
      <alignment horizontal="center" vertical="center"/>
    </xf>
    <xf numFmtId="0" fontId="13" fillId="0" borderId="86" xfId="0" applyFont="1" applyBorder="1">
      <alignment vertical="center"/>
    </xf>
    <xf numFmtId="0" fontId="13" fillId="0" borderId="18" xfId="0" applyFont="1" applyBorder="1">
      <alignment vertical="center"/>
    </xf>
    <xf numFmtId="0" fontId="13" fillId="0" borderId="87" xfId="0" applyFont="1" applyBorder="1">
      <alignment vertical="center"/>
    </xf>
    <xf numFmtId="10" fontId="13" fillId="0" borderId="20" xfId="0" applyNumberFormat="1" applyFont="1" applyBorder="1">
      <alignment vertical="center"/>
    </xf>
    <xf numFmtId="0" fontId="13" fillId="0" borderId="19" xfId="0" applyFont="1" applyBorder="1">
      <alignment vertical="center"/>
    </xf>
    <xf numFmtId="0" fontId="13" fillId="0" borderId="80" xfId="0" applyFont="1" applyBorder="1" applyAlignment="1">
      <alignment horizontal="center" vertical="center"/>
    </xf>
    <xf numFmtId="0" fontId="13" fillId="0" borderId="88" xfId="0" applyFont="1" applyBorder="1">
      <alignment vertical="center"/>
    </xf>
    <xf numFmtId="10" fontId="13" fillId="0" borderId="15" xfId="0" applyNumberFormat="1" applyFont="1" applyBorder="1">
      <alignment vertical="center"/>
    </xf>
    <xf numFmtId="10" fontId="13" fillId="0" borderId="36" xfId="0" applyNumberFormat="1" applyFont="1" applyBorder="1">
      <alignment vertical="center"/>
    </xf>
    <xf numFmtId="0" fontId="13" fillId="0" borderId="0" xfId="0" applyFont="1" applyAlignment="1">
      <alignment horizontal="center" vertical="center"/>
    </xf>
    <xf numFmtId="0" fontId="13" fillId="13" borderId="17" xfId="0" applyFont="1" applyFill="1" applyBorder="1" applyAlignment="1">
      <alignment horizontal="center" vertical="center"/>
    </xf>
    <xf numFmtId="0" fontId="13" fillId="13" borderId="79" xfId="0" applyFont="1" applyFill="1" applyBorder="1" applyAlignment="1">
      <alignment horizontal="center" vertical="center"/>
    </xf>
    <xf numFmtId="0" fontId="13" fillId="13" borderId="73" xfId="0" applyFont="1" applyFill="1" applyBorder="1" applyAlignment="1">
      <alignment horizontal="center" vertical="center"/>
    </xf>
    <xf numFmtId="177" fontId="13" fillId="13" borderId="77" xfId="0" applyNumberFormat="1" applyFont="1" applyFill="1" applyBorder="1">
      <alignment vertical="center"/>
    </xf>
    <xf numFmtId="177" fontId="13" fillId="13" borderId="74" xfId="0" applyNumberFormat="1" applyFont="1" applyFill="1" applyBorder="1">
      <alignment vertical="center"/>
    </xf>
    <xf numFmtId="176" fontId="13" fillId="0" borderId="36" xfId="0" applyNumberFormat="1" applyFont="1" applyBorder="1">
      <alignment vertical="center"/>
    </xf>
    <xf numFmtId="0" fontId="11" fillId="0" borderId="4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9" fillId="8" borderId="51" xfId="0" applyFont="1" applyFill="1" applyBorder="1">
      <alignment vertical="center"/>
    </xf>
    <xf numFmtId="0" fontId="7" fillId="0" borderId="93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9" fillId="8" borderId="6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11" xfId="0" applyFont="1" applyBorder="1">
      <alignment vertical="center"/>
    </xf>
    <xf numFmtId="0" fontId="14" fillId="0" borderId="41" xfId="0" applyFont="1" applyBorder="1" applyAlignment="1">
      <alignment horizontal="center" vertical="center"/>
    </xf>
    <xf numFmtId="0" fontId="9" fillId="8" borderId="52" xfId="0" applyFont="1" applyFill="1" applyBorder="1">
      <alignment vertical="center"/>
    </xf>
    <xf numFmtId="0" fontId="9" fillId="0" borderId="41" xfId="0" applyFont="1" applyBorder="1" applyProtection="1">
      <alignment vertical="center"/>
      <protection locked="0"/>
    </xf>
    <xf numFmtId="177" fontId="6" fillId="9" borderId="94" xfId="0" applyNumberFormat="1" applyFont="1" applyFill="1" applyBorder="1">
      <alignment vertical="center"/>
    </xf>
    <xf numFmtId="177" fontId="6" fillId="9" borderId="42" xfId="0" applyNumberFormat="1" applyFont="1" applyFill="1" applyBorder="1">
      <alignment vertical="center"/>
    </xf>
    <xf numFmtId="177" fontId="6" fillId="9" borderId="43" xfId="0" applyNumberFormat="1" applyFont="1" applyFill="1" applyBorder="1">
      <alignment vertical="center"/>
    </xf>
    <xf numFmtId="177" fontId="7" fillId="9" borderId="27" xfId="0" applyNumberFormat="1" applyFont="1" applyFill="1" applyBorder="1">
      <alignment vertical="center"/>
    </xf>
    <xf numFmtId="177" fontId="7" fillId="9" borderId="43" xfId="0" applyNumberFormat="1" applyFont="1" applyFill="1" applyBorder="1">
      <alignment vertical="center"/>
    </xf>
    <xf numFmtId="177" fontId="9" fillId="0" borderId="41" xfId="0" applyNumberFormat="1" applyFont="1" applyBorder="1" applyProtection="1">
      <alignment vertical="center"/>
      <protection locked="0"/>
    </xf>
    <xf numFmtId="0" fontId="16" fillId="12" borderId="0" xfId="0" applyFont="1" applyFill="1">
      <alignment vertical="center"/>
    </xf>
    <xf numFmtId="176" fontId="16" fillId="12" borderId="0" xfId="0" applyNumberFormat="1" applyFont="1" applyFill="1" applyAlignment="1">
      <alignment horizontal="right" vertical="center"/>
    </xf>
    <xf numFmtId="0" fontId="14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vertical="center" wrapText="1"/>
    </xf>
    <xf numFmtId="0" fontId="14" fillId="3" borderId="28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176" fontId="14" fillId="3" borderId="46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4" borderId="12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8" fillId="11" borderId="35" xfId="0" applyFont="1" applyFill="1" applyBorder="1" applyAlignment="1">
      <alignment horizontal="left" vertical="center"/>
    </xf>
    <xf numFmtId="0" fontId="16" fillId="3" borderId="2" xfId="0" applyFont="1" applyFill="1" applyBorder="1">
      <alignment vertical="center"/>
    </xf>
    <xf numFmtId="0" fontId="16" fillId="3" borderId="7" xfId="0" applyFont="1" applyFill="1" applyBorder="1">
      <alignment vertical="center"/>
    </xf>
    <xf numFmtId="0" fontId="16" fillId="3" borderId="71" xfId="0" applyFont="1" applyFill="1" applyBorder="1">
      <alignment vertical="center"/>
    </xf>
    <xf numFmtId="0" fontId="16" fillId="3" borderId="17" xfId="0" applyFont="1" applyFill="1" applyBorder="1">
      <alignment vertical="center"/>
    </xf>
    <xf numFmtId="0" fontId="16" fillId="7" borderId="37" xfId="0" applyFont="1" applyFill="1" applyBorder="1">
      <alignment vertical="center"/>
    </xf>
    <xf numFmtId="176" fontId="14" fillId="7" borderId="40" xfId="0" applyNumberFormat="1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4" fillId="13" borderId="72" xfId="0" applyFont="1" applyFill="1" applyBorder="1" applyAlignment="1">
      <alignment horizontal="center" vertical="center"/>
    </xf>
    <xf numFmtId="0" fontId="20" fillId="7" borderId="37" xfId="0" applyFont="1" applyFill="1" applyBorder="1">
      <alignment vertical="center"/>
    </xf>
    <xf numFmtId="0" fontId="16" fillId="4" borderId="5" xfId="0" applyFont="1" applyFill="1" applyBorder="1">
      <alignment vertical="center"/>
    </xf>
    <xf numFmtId="177" fontId="16" fillId="3" borderId="39" xfId="1" applyNumberFormat="1" applyFont="1" applyFill="1" applyBorder="1" applyAlignment="1">
      <alignment vertical="center"/>
    </xf>
    <xf numFmtId="0" fontId="16" fillId="4" borderId="67" xfId="0" applyFont="1" applyFill="1" applyBorder="1">
      <alignment vertical="center"/>
    </xf>
    <xf numFmtId="177" fontId="16" fillId="3" borderId="3" xfId="1" applyNumberFormat="1" applyFont="1" applyFill="1" applyBorder="1" applyAlignment="1">
      <alignment vertical="center"/>
    </xf>
    <xf numFmtId="177" fontId="16" fillId="3" borderId="20" xfId="1" applyNumberFormat="1" applyFont="1" applyFill="1" applyBorder="1" applyAlignment="1">
      <alignment vertical="center"/>
    </xf>
    <xf numFmtId="0" fontId="16" fillId="4" borderId="67" xfId="0" applyFont="1" applyFill="1" applyBorder="1" applyAlignment="1">
      <alignment vertical="center" wrapText="1"/>
    </xf>
    <xf numFmtId="0" fontId="14" fillId="10" borderId="19" xfId="0" applyFont="1" applyFill="1" applyBorder="1" applyAlignment="1">
      <alignment horizontal="center" vertical="center"/>
    </xf>
    <xf numFmtId="177" fontId="16" fillId="3" borderId="76" xfId="1" applyNumberFormat="1" applyFont="1" applyFill="1" applyBorder="1" applyAlignment="1">
      <alignment vertical="center"/>
    </xf>
    <xf numFmtId="177" fontId="16" fillId="3" borderId="24" xfId="1" applyNumberFormat="1" applyFont="1" applyFill="1" applyBorder="1" applyAlignment="1">
      <alignment vertical="center"/>
    </xf>
    <xf numFmtId="0" fontId="16" fillId="5" borderId="68" xfId="0" applyFont="1" applyFill="1" applyBorder="1">
      <alignment vertical="center"/>
    </xf>
    <xf numFmtId="0" fontId="14" fillId="6" borderId="69" xfId="0" applyFont="1" applyFill="1" applyBorder="1" applyAlignment="1">
      <alignment horizontal="center" vertical="center"/>
    </xf>
    <xf numFmtId="177" fontId="16" fillId="3" borderId="15" xfId="1" applyNumberFormat="1" applyFont="1" applyFill="1" applyBorder="1" applyAlignment="1">
      <alignment vertical="center"/>
    </xf>
    <xf numFmtId="0" fontId="15" fillId="0" borderId="9" xfId="0" applyFont="1" applyBorder="1" applyAlignment="1">
      <alignment horizontal="center" vertical="center"/>
    </xf>
    <xf numFmtId="177" fontId="16" fillId="3" borderId="35" xfId="1" applyNumberFormat="1" applyFont="1" applyFill="1" applyBorder="1" applyAlignment="1">
      <alignment vertical="center"/>
    </xf>
    <xf numFmtId="0" fontId="14" fillId="3" borderId="59" xfId="0" applyFont="1" applyFill="1" applyBorder="1" applyAlignment="1">
      <alignment horizontal="center" vertical="center"/>
    </xf>
    <xf numFmtId="177" fontId="16" fillId="3" borderId="72" xfId="1" applyNumberFormat="1" applyFont="1" applyFill="1" applyBorder="1" applyAlignment="1">
      <alignment vertical="center"/>
    </xf>
    <xf numFmtId="0" fontId="16" fillId="1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right" vertical="center"/>
    </xf>
    <xf numFmtId="3" fontId="16" fillId="0" borderId="0" xfId="0" applyNumberFormat="1" applyFont="1">
      <alignment vertical="center"/>
    </xf>
    <xf numFmtId="0" fontId="16" fillId="3" borderId="18" xfId="0" applyFont="1" applyFill="1" applyBorder="1">
      <alignment vertical="center"/>
    </xf>
    <xf numFmtId="41" fontId="16" fillId="9" borderId="77" xfId="1" applyFont="1" applyFill="1" applyBorder="1" applyAlignment="1" applyProtection="1">
      <alignment horizontal="right" vertical="center"/>
      <protection locked="0"/>
    </xf>
    <xf numFmtId="41" fontId="16" fillId="9" borderId="96" xfId="1" applyFont="1" applyFill="1" applyBorder="1" applyAlignment="1" applyProtection="1">
      <alignment horizontal="right" vertical="center"/>
      <protection locked="0"/>
    </xf>
    <xf numFmtId="41" fontId="16" fillId="13" borderId="72" xfId="0" applyNumberFormat="1" applyFont="1" applyFill="1" applyBorder="1">
      <alignment vertical="center"/>
    </xf>
    <xf numFmtId="41" fontId="16" fillId="9" borderId="46" xfId="1" applyFont="1" applyFill="1" applyBorder="1" applyAlignment="1" applyProtection="1">
      <alignment horizontal="right" vertical="center"/>
      <protection locked="0"/>
    </xf>
    <xf numFmtId="41" fontId="14" fillId="10" borderId="46" xfId="1" applyFont="1" applyFill="1" applyBorder="1" applyAlignment="1">
      <alignment horizontal="right" vertical="center"/>
    </xf>
    <xf numFmtId="41" fontId="16" fillId="9" borderId="73" xfId="1" applyFont="1" applyFill="1" applyBorder="1" applyAlignment="1" applyProtection="1">
      <alignment horizontal="right" vertical="center"/>
      <protection locked="0"/>
    </xf>
    <xf numFmtId="41" fontId="14" fillId="6" borderId="72" xfId="1" applyFont="1" applyFill="1" applyBorder="1" applyAlignment="1">
      <alignment horizontal="right" vertical="center"/>
    </xf>
    <xf numFmtId="41" fontId="15" fillId="13" borderId="99" xfId="1" applyFont="1" applyFill="1" applyBorder="1" applyAlignment="1">
      <alignment horizontal="right" vertical="center"/>
    </xf>
    <xf numFmtId="41" fontId="16" fillId="9" borderId="96" xfId="1" applyFont="1" applyFill="1" applyBorder="1" applyAlignment="1" applyProtection="1">
      <alignment vertical="center"/>
      <protection locked="0"/>
    </xf>
    <xf numFmtId="41" fontId="16" fillId="9" borderId="97" xfId="1" applyFont="1" applyFill="1" applyBorder="1" applyAlignment="1" applyProtection="1">
      <alignment horizontal="right" vertical="center"/>
      <protection locked="0"/>
    </xf>
    <xf numFmtId="0" fontId="16" fillId="0" borderId="23" xfId="0" applyFont="1" applyBorder="1" applyProtection="1">
      <alignment vertical="center"/>
      <protection locked="0"/>
    </xf>
    <xf numFmtId="0" fontId="16" fillId="0" borderId="35" xfId="0" applyFont="1" applyBorder="1" applyProtection="1">
      <alignment vertical="center"/>
      <protection locked="0"/>
    </xf>
    <xf numFmtId="0" fontId="16" fillId="0" borderId="6" xfId="0" applyFont="1" applyBorder="1" applyProtection="1">
      <alignment vertical="center"/>
      <protection locked="0"/>
    </xf>
    <xf numFmtId="0" fontId="16" fillId="0" borderId="39" xfId="0" applyFont="1" applyBorder="1" applyProtection="1">
      <alignment vertical="center"/>
      <protection locked="0"/>
    </xf>
    <xf numFmtId="0" fontId="18" fillId="11" borderId="41" xfId="0" applyFont="1" applyFill="1" applyBorder="1" applyAlignment="1">
      <alignment horizontal="center" vertical="center"/>
    </xf>
    <xf numFmtId="0" fontId="14" fillId="13" borderId="82" xfId="0" applyFont="1" applyFill="1" applyBorder="1" applyAlignment="1">
      <alignment horizontal="center" vertical="center"/>
    </xf>
    <xf numFmtId="177" fontId="16" fillId="0" borderId="78" xfId="1" applyNumberFormat="1" applyFont="1" applyFill="1" applyBorder="1" applyAlignment="1" applyProtection="1">
      <alignment vertical="center"/>
      <protection locked="0"/>
    </xf>
    <xf numFmtId="0" fontId="16" fillId="5" borderId="67" xfId="0" applyFont="1" applyFill="1" applyBorder="1">
      <alignment vertical="center"/>
    </xf>
    <xf numFmtId="177" fontId="16" fillId="3" borderId="4" xfId="1" applyNumberFormat="1" applyFont="1" applyFill="1" applyBorder="1" applyAlignment="1">
      <alignment vertical="center"/>
    </xf>
    <xf numFmtId="177" fontId="16" fillId="3" borderId="78" xfId="1" applyNumberFormat="1" applyFont="1" applyFill="1" applyBorder="1" applyAlignment="1">
      <alignment vertical="center"/>
    </xf>
    <xf numFmtId="177" fontId="16" fillId="0" borderId="81" xfId="1" applyNumberFormat="1" applyFont="1" applyFill="1" applyBorder="1" applyAlignment="1" applyProtection="1">
      <alignment vertical="center"/>
      <protection locked="0"/>
    </xf>
    <xf numFmtId="177" fontId="16" fillId="0" borderId="79" xfId="1" applyNumberFormat="1" applyFont="1" applyFill="1" applyBorder="1" applyAlignment="1" applyProtection="1">
      <alignment vertical="center"/>
      <protection locked="0"/>
    </xf>
    <xf numFmtId="177" fontId="16" fillId="0" borderId="98" xfId="1" applyNumberFormat="1" applyFont="1" applyFill="1" applyBorder="1" applyAlignment="1" applyProtection="1">
      <alignment vertical="center"/>
      <protection locked="0"/>
    </xf>
    <xf numFmtId="177" fontId="16" fillId="0" borderId="75" xfId="1" applyNumberFormat="1" applyFont="1" applyFill="1" applyBorder="1" applyAlignment="1" applyProtection="1">
      <alignment vertical="center"/>
      <protection locked="0"/>
    </xf>
    <xf numFmtId="177" fontId="16" fillId="3" borderId="82" xfId="1" applyNumberFormat="1" applyFont="1" applyFill="1" applyBorder="1" applyAlignment="1">
      <alignment vertical="center"/>
    </xf>
    <xf numFmtId="0" fontId="16" fillId="13" borderId="47" xfId="0" applyFont="1" applyFill="1" applyBorder="1">
      <alignment vertical="center"/>
    </xf>
    <xf numFmtId="0" fontId="16" fillId="13" borderId="56" xfId="0" applyFont="1" applyFill="1" applyBorder="1">
      <alignment vertical="center"/>
    </xf>
    <xf numFmtId="0" fontId="16" fillId="13" borderId="60" xfId="0" applyFont="1" applyFill="1" applyBorder="1">
      <alignment vertical="center"/>
    </xf>
    <xf numFmtId="0" fontId="16" fillId="13" borderId="0" xfId="0" applyFont="1" applyFill="1">
      <alignment vertical="center"/>
    </xf>
    <xf numFmtId="0" fontId="16" fillId="13" borderId="49" xfId="0" applyFont="1" applyFill="1" applyBorder="1">
      <alignment vertical="center"/>
    </xf>
    <xf numFmtId="0" fontId="16" fillId="13" borderId="64" xfId="0" applyFont="1" applyFill="1" applyBorder="1">
      <alignment vertical="center"/>
    </xf>
    <xf numFmtId="0" fontId="16" fillId="13" borderId="61" xfId="0" applyFont="1" applyFill="1" applyBorder="1">
      <alignment vertical="center"/>
    </xf>
    <xf numFmtId="0" fontId="16" fillId="13" borderId="66" xfId="0" applyFont="1" applyFill="1" applyBorder="1">
      <alignment vertical="center"/>
    </xf>
    <xf numFmtId="0" fontId="16" fillId="13" borderId="63" xfId="0" applyFont="1" applyFill="1" applyBorder="1">
      <alignment vertical="center"/>
    </xf>
    <xf numFmtId="0" fontId="16" fillId="13" borderId="65" xfId="0" applyFont="1" applyFill="1" applyBorder="1">
      <alignment vertical="center"/>
    </xf>
    <xf numFmtId="0" fontId="17" fillId="13" borderId="48" xfId="0" applyFont="1" applyFill="1" applyBorder="1" applyAlignment="1">
      <alignment horizontal="center" vertical="center"/>
    </xf>
    <xf numFmtId="0" fontId="17" fillId="13" borderId="54" xfId="0" applyFont="1" applyFill="1" applyBorder="1" applyAlignment="1">
      <alignment horizontal="center" vertical="center"/>
    </xf>
    <xf numFmtId="0" fontId="16" fillId="13" borderId="54" xfId="0" applyFont="1" applyFill="1" applyBorder="1">
      <alignment vertical="center"/>
    </xf>
    <xf numFmtId="0" fontId="18" fillId="13" borderId="54" xfId="0" applyFont="1" applyFill="1" applyBorder="1" applyAlignment="1">
      <alignment horizontal="center" vertical="center"/>
    </xf>
    <xf numFmtId="41" fontId="16" fillId="13" borderId="54" xfId="1" applyFont="1" applyFill="1" applyBorder="1" applyAlignment="1">
      <alignment vertical="center"/>
    </xf>
    <xf numFmtId="41" fontId="24" fillId="13" borderId="54" xfId="1" applyFont="1" applyFill="1" applyBorder="1" applyAlignment="1">
      <alignment vertical="center"/>
    </xf>
    <xf numFmtId="0" fontId="18" fillId="13" borderId="89" xfId="0" applyFont="1" applyFill="1" applyBorder="1" applyAlignment="1">
      <alignment horizontal="center" vertical="center"/>
    </xf>
    <xf numFmtId="0" fontId="16" fillId="13" borderId="54" xfId="0" applyFont="1" applyFill="1" applyBorder="1" applyAlignment="1">
      <alignment horizontal="center" vertical="center"/>
    </xf>
    <xf numFmtId="0" fontId="16" fillId="13" borderId="50" xfId="0" applyFont="1" applyFill="1" applyBorder="1">
      <alignment vertical="center"/>
    </xf>
    <xf numFmtId="0" fontId="16" fillId="13" borderId="62" xfId="0" applyFont="1" applyFill="1" applyBorder="1">
      <alignment vertical="center"/>
    </xf>
    <xf numFmtId="0" fontId="16" fillId="13" borderId="70" xfId="0" applyFont="1" applyFill="1" applyBorder="1">
      <alignment vertical="center"/>
    </xf>
    <xf numFmtId="41" fontId="24" fillId="13" borderId="62" xfId="0" applyNumberFormat="1" applyFont="1" applyFill="1" applyBorder="1">
      <alignment vertical="center"/>
    </xf>
    <xf numFmtId="41" fontId="24" fillId="13" borderId="70" xfId="0" applyNumberFormat="1" applyFont="1" applyFill="1" applyBorder="1">
      <alignment vertical="center"/>
    </xf>
    <xf numFmtId="0" fontId="16" fillId="13" borderId="57" xfId="0" applyFont="1" applyFill="1" applyBorder="1">
      <alignment vertical="center"/>
    </xf>
    <xf numFmtId="0" fontId="16" fillId="13" borderId="58" xfId="0" applyFont="1" applyFill="1" applyBorder="1">
      <alignment vertical="center"/>
    </xf>
    <xf numFmtId="0" fontId="21" fillId="13" borderId="64" xfId="0" applyFont="1" applyFill="1" applyBorder="1">
      <alignment vertical="center"/>
    </xf>
    <xf numFmtId="0" fontId="16" fillId="13" borderId="52" xfId="0" applyFont="1" applyFill="1" applyBorder="1">
      <alignment vertical="center"/>
    </xf>
    <xf numFmtId="0" fontId="17" fillId="13" borderId="32" xfId="0" applyFont="1" applyFill="1" applyBorder="1" applyAlignment="1">
      <alignment horizontal="center" vertical="center"/>
    </xf>
    <xf numFmtId="0" fontId="16" fillId="13" borderId="32" xfId="0" applyFont="1" applyFill="1" applyBorder="1">
      <alignment vertical="center"/>
    </xf>
    <xf numFmtId="0" fontId="18" fillId="13" borderId="32" xfId="0" applyFont="1" applyFill="1" applyBorder="1" applyAlignment="1">
      <alignment horizontal="center" vertical="center"/>
    </xf>
    <xf numFmtId="41" fontId="16" fillId="13" borderId="32" xfId="1" applyFont="1" applyFill="1" applyBorder="1" applyAlignment="1">
      <alignment vertical="center"/>
    </xf>
    <xf numFmtId="41" fontId="24" fillId="13" borderId="32" xfId="1" applyFont="1" applyFill="1" applyBorder="1" applyAlignment="1">
      <alignment vertical="center"/>
    </xf>
    <xf numFmtId="0" fontId="16" fillId="13" borderId="32" xfId="0" applyFont="1" applyFill="1" applyBorder="1" applyAlignment="1">
      <alignment horizontal="center" vertical="center"/>
    </xf>
    <xf numFmtId="41" fontId="24" fillId="13" borderId="32" xfId="0" applyNumberFormat="1" applyFont="1" applyFill="1" applyBorder="1">
      <alignment vertical="center"/>
    </xf>
    <xf numFmtId="0" fontId="6" fillId="0" borderId="39" xfId="0" applyFont="1" applyBorder="1">
      <alignment vertical="center"/>
    </xf>
    <xf numFmtId="0" fontId="16" fillId="0" borderId="34" xfId="0" applyFont="1" applyBorder="1" applyAlignment="1">
      <alignment horizontal="left" vertical="center"/>
    </xf>
    <xf numFmtId="0" fontId="16" fillId="13" borderId="102" xfId="0" applyFont="1" applyFill="1" applyBorder="1">
      <alignment vertical="center"/>
    </xf>
    <xf numFmtId="0" fontId="21" fillId="13" borderId="103" xfId="0" applyFont="1" applyFill="1" applyBorder="1">
      <alignment vertical="center"/>
    </xf>
    <xf numFmtId="0" fontId="16" fillId="13" borderId="104" xfId="0" applyFont="1" applyFill="1" applyBorder="1">
      <alignment vertical="center"/>
    </xf>
    <xf numFmtId="0" fontId="16" fillId="7" borderId="105" xfId="0" applyFont="1" applyFill="1" applyBorder="1">
      <alignment vertical="center"/>
    </xf>
    <xf numFmtId="10" fontId="14" fillId="7" borderId="7" xfId="0" applyNumberFormat="1" applyFont="1" applyFill="1" applyBorder="1" applyAlignment="1">
      <alignment horizontal="center" vertical="center"/>
    </xf>
    <xf numFmtId="0" fontId="20" fillId="7" borderId="105" xfId="0" applyFont="1" applyFill="1" applyBorder="1">
      <alignment vertical="center"/>
    </xf>
    <xf numFmtId="10" fontId="14" fillId="7" borderId="106" xfId="0" applyNumberFormat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41" fontId="16" fillId="9" borderId="108" xfId="1" applyFont="1" applyFill="1" applyBorder="1" applyAlignment="1" applyProtection="1">
      <alignment horizontal="right" vertical="center"/>
      <protection locked="0"/>
    </xf>
    <xf numFmtId="41" fontId="16" fillId="9" borderId="94" xfId="1" applyFont="1" applyFill="1" applyBorder="1" applyAlignment="1" applyProtection="1">
      <alignment horizontal="right" vertical="center"/>
      <protection locked="0"/>
    </xf>
    <xf numFmtId="41" fontId="16" fillId="9" borderId="42" xfId="1" applyFont="1" applyFill="1" applyBorder="1" applyAlignment="1" applyProtection="1">
      <alignment horizontal="right" vertical="center"/>
      <protection locked="0"/>
    </xf>
    <xf numFmtId="41" fontId="16" fillId="9" borderId="43" xfId="1" applyFont="1" applyFill="1" applyBorder="1" applyAlignment="1" applyProtection="1">
      <alignment horizontal="right" vertical="center"/>
      <protection locked="0"/>
    </xf>
    <xf numFmtId="0" fontId="20" fillId="0" borderId="42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0" fontId="20" fillId="0" borderId="34" xfId="0" applyFont="1" applyBorder="1" applyAlignment="1">
      <alignment horizontal="left" vertical="center"/>
    </xf>
    <xf numFmtId="0" fontId="20" fillId="0" borderId="94" xfId="0" applyFont="1" applyBorder="1" applyAlignment="1">
      <alignment horizontal="left" vertical="center"/>
    </xf>
    <xf numFmtId="41" fontId="16" fillId="9" borderId="1" xfId="1" applyFont="1" applyFill="1" applyBorder="1" applyAlignment="1" applyProtection="1">
      <alignment horizontal="right" vertical="center"/>
      <protection locked="0"/>
    </xf>
    <xf numFmtId="0" fontId="20" fillId="4" borderId="0" xfId="0" applyFont="1" applyFill="1" applyAlignment="1">
      <alignment horizontal="center" vertical="center"/>
    </xf>
    <xf numFmtId="9" fontId="16" fillId="0" borderId="0" xfId="2" applyFont="1" applyAlignment="1">
      <alignment vertical="center"/>
    </xf>
    <xf numFmtId="0" fontId="27" fillId="0" borderId="41" xfId="0" applyFont="1" applyBorder="1" applyAlignment="1">
      <alignment horizontal="left" vertical="center"/>
    </xf>
    <xf numFmtId="0" fontId="16" fillId="0" borderId="95" xfId="0" applyFont="1" applyBorder="1" applyAlignment="1">
      <alignment horizontal="left" vertical="center"/>
    </xf>
    <xf numFmtId="0" fontId="28" fillId="2" borderId="22" xfId="0" applyFont="1" applyFill="1" applyBorder="1" applyAlignment="1">
      <alignment horizontal="left" vertical="center"/>
    </xf>
    <xf numFmtId="0" fontId="16" fillId="0" borderId="53" xfId="0" applyFont="1" applyBorder="1" applyAlignment="1">
      <alignment horizontal="left" vertical="center"/>
    </xf>
    <xf numFmtId="0" fontId="20" fillId="0" borderId="110" xfId="0" applyFont="1" applyBorder="1" applyAlignment="1">
      <alignment horizontal="left" vertical="center"/>
    </xf>
    <xf numFmtId="41" fontId="16" fillId="9" borderId="110" xfId="1" applyFont="1" applyFill="1" applyBorder="1" applyAlignment="1" applyProtection="1">
      <alignment horizontal="right" vertical="center"/>
      <protection locked="0"/>
    </xf>
    <xf numFmtId="0" fontId="30" fillId="0" borderId="26" xfId="0" applyFont="1" applyBorder="1">
      <alignment vertical="center"/>
    </xf>
    <xf numFmtId="0" fontId="31" fillId="0" borderId="26" xfId="0" applyFont="1" applyBorder="1">
      <alignment vertical="center"/>
    </xf>
    <xf numFmtId="0" fontId="31" fillId="0" borderId="27" xfId="0" applyFont="1" applyBorder="1">
      <alignment vertical="center"/>
    </xf>
    <xf numFmtId="0" fontId="31" fillId="0" borderId="93" xfId="0" applyFont="1" applyBorder="1">
      <alignment vertical="center"/>
    </xf>
    <xf numFmtId="0" fontId="31" fillId="0" borderId="93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177" fontId="6" fillId="9" borderId="110" xfId="0" applyNumberFormat="1" applyFont="1" applyFill="1" applyBorder="1">
      <alignment vertical="center"/>
    </xf>
    <xf numFmtId="177" fontId="6" fillId="9" borderId="26" xfId="0" applyNumberFormat="1" applyFont="1" applyFill="1" applyBorder="1">
      <alignment vertical="center"/>
    </xf>
    <xf numFmtId="0" fontId="32" fillId="3" borderId="41" xfId="0" applyFont="1" applyFill="1" applyBorder="1" applyAlignment="1">
      <alignment horizontal="center" vertical="center"/>
    </xf>
    <xf numFmtId="0" fontId="32" fillId="3" borderId="41" xfId="0" applyFont="1" applyFill="1" applyBorder="1">
      <alignment vertical="center"/>
    </xf>
    <xf numFmtId="177" fontId="10" fillId="3" borderId="41" xfId="0" applyNumberFormat="1" applyFont="1" applyFill="1" applyBorder="1">
      <alignment vertical="center"/>
    </xf>
    <xf numFmtId="0" fontId="10" fillId="3" borderId="11" xfId="0" applyFont="1" applyFill="1" applyBorder="1">
      <alignment vertical="center"/>
    </xf>
    <xf numFmtId="0" fontId="33" fillId="0" borderId="20" xfId="0" applyFont="1" applyBorder="1">
      <alignment vertical="center"/>
    </xf>
    <xf numFmtId="0" fontId="33" fillId="0" borderId="20" xfId="0" applyFont="1" applyBorder="1" applyAlignment="1">
      <alignment vertical="center" wrapText="1"/>
    </xf>
    <xf numFmtId="41" fontId="16" fillId="9" borderId="4" xfId="1" applyFont="1" applyFill="1" applyBorder="1" applyAlignment="1" applyProtection="1">
      <alignment horizontal="right" vertical="center"/>
      <protection locked="0"/>
    </xf>
    <xf numFmtId="41" fontId="16" fillId="0" borderId="20" xfId="1" applyFont="1" applyFill="1" applyBorder="1" applyAlignment="1" applyProtection="1">
      <alignment horizontal="right" vertical="center"/>
      <protection locked="0"/>
    </xf>
    <xf numFmtId="41" fontId="16" fillId="9" borderId="20" xfId="1" applyFont="1" applyFill="1" applyBorder="1" applyAlignment="1" applyProtection="1">
      <alignment horizontal="right" vertical="center"/>
      <protection locked="0"/>
    </xf>
    <xf numFmtId="41" fontId="16" fillId="9" borderId="3" xfId="1" applyFont="1" applyFill="1" applyBorder="1" applyAlignment="1" applyProtection="1">
      <alignment horizontal="right" vertical="center"/>
      <protection locked="0"/>
    </xf>
    <xf numFmtId="0" fontId="16" fillId="0" borderId="0" xfId="0" applyFont="1" applyProtection="1">
      <alignment vertical="center"/>
      <protection locked="0"/>
    </xf>
    <xf numFmtId="0" fontId="14" fillId="10" borderId="27" xfId="0" applyFont="1" applyFill="1" applyBorder="1">
      <alignment vertical="center"/>
    </xf>
    <xf numFmtId="10" fontId="14" fillId="7" borderId="40" xfId="2" applyNumberFormat="1" applyFont="1" applyFill="1" applyBorder="1" applyAlignment="1">
      <alignment horizontal="center" vertical="center"/>
    </xf>
    <xf numFmtId="10" fontId="14" fillId="7" borderId="38" xfId="2" applyNumberFormat="1" applyFont="1" applyFill="1" applyBorder="1" applyAlignment="1">
      <alignment horizontal="center" vertical="center"/>
    </xf>
    <xf numFmtId="10" fontId="14" fillId="7" borderId="7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0" fontId="0" fillId="15" borderId="111" xfId="0" applyFill="1" applyBorder="1" applyAlignment="1">
      <alignment horizontal="center" vertical="center"/>
    </xf>
    <xf numFmtId="41" fontId="0" fillId="15" borderId="111" xfId="1" applyFont="1" applyFill="1" applyBorder="1" applyAlignment="1">
      <alignment horizontal="center" vertical="center"/>
    </xf>
    <xf numFmtId="14" fontId="0" fillId="15" borderId="111" xfId="0" applyNumberFormat="1" applyFill="1" applyBorder="1" applyAlignment="1">
      <alignment horizontal="center" vertical="center"/>
    </xf>
    <xf numFmtId="0" fontId="38" fillId="0" borderId="111" xfId="0" applyFont="1" applyBorder="1" applyAlignment="1">
      <alignment horizontal="center" vertical="center"/>
    </xf>
    <xf numFmtId="0" fontId="39" fillId="0" borderId="111" xfId="0" applyFont="1" applyBorder="1">
      <alignment vertical="center"/>
    </xf>
    <xf numFmtId="41" fontId="39" fillId="14" borderId="111" xfId="1" applyFont="1" applyFill="1" applyBorder="1">
      <alignment vertical="center"/>
    </xf>
    <xf numFmtId="14" fontId="39" fillId="0" borderId="111" xfId="0" applyNumberFormat="1" applyFont="1" applyBorder="1" applyAlignment="1">
      <alignment horizontal="center" vertical="center"/>
    </xf>
    <xf numFmtId="41" fontId="39" fillId="0" borderId="111" xfId="1" applyFont="1" applyBorder="1">
      <alignment vertical="center"/>
    </xf>
    <xf numFmtId="0" fontId="0" fillId="16" borderId="0" xfId="0" applyFill="1" applyBorder="1">
      <alignment vertical="center"/>
    </xf>
    <xf numFmtId="0" fontId="25" fillId="13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8" fillId="11" borderId="9" xfId="0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/>
    </xf>
    <xf numFmtId="0" fontId="15" fillId="9" borderId="59" xfId="0" applyFont="1" applyFill="1" applyBorder="1" applyAlignment="1" applyProtection="1">
      <alignment horizontal="center" vertical="center"/>
      <protection locked="0"/>
    </xf>
    <xf numFmtId="0" fontId="15" fillId="9" borderId="72" xfId="0" applyFont="1" applyFill="1" applyBorder="1" applyAlignment="1" applyProtection="1">
      <alignment horizontal="center" vertical="center"/>
      <protection locked="0"/>
    </xf>
    <xf numFmtId="0" fontId="18" fillId="11" borderId="9" xfId="0" applyFont="1" applyFill="1" applyBorder="1" applyAlignment="1">
      <alignment horizontal="left" vertical="center"/>
    </xf>
    <xf numFmtId="0" fontId="18" fillId="11" borderId="35" xfId="0" applyFont="1" applyFill="1" applyBorder="1" applyAlignment="1">
      <alignment horizontal="left" vertical="center"/>
    </xf>
    <xf numFmtId="41" fontId="19" fillId="9" borderId="16" xfId="1" applyFont="1" applyFill="1" applyBorder="1" applyAlignment="1" applyProtection="1">
      <alignment vertical="center"/>
      <protection locked="0"/>
    </xf>
    <xf numFmtId="41" fontId="19" fillId="9" borderId="4" xfId="1" applyFont="1" applyFill="1" applyBorder="1" applyAlignment="1" applyProtection="1">
      <alignment vertical="center"/>
      <protection locked="0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10" fontId="21" fillId="9" borderId="44" xfId="0" applyNumberFormat="1" applyFont="1" applyFill="1" applyBorder="1" applyProtection="1">
      <alignment vertical="center"/>
      <protection locked="0"/>
    </xf>
    <xf numFmtId="10" fontId="21" fillId="9" borderId="20" xfId="0" applyNumberFormat="1" applyFont="1" applyFill="1" applyBorder="1" applyProtection="1">
      <alignment vertical="center"/>
      <protection locked="0"/>
    </xf>
    <xf numFmtId="10" fontId="20" fillId="0" borderId="95" xfId="0" applyNumberFormat="1" applyFont="1" applyBorder="1" applyProtection="1">
      <alignment vertical="center"/>
      <protection locked="0"/>
    </xf>
    <xf numFmtId="10" fontId="20" fillId="0" borderId="1" xfId="0" applyNumberFormat="1" applyFont="1" applyBorder="1" applyProtection="1">
      <alignment vertical="center"/>
      <protection locked="0"/>
    </xf>
    <xf numFmtId="41" fontId="20" fillId="3" borderId="33" xfId="0" applyNumberFormat="1" applyFont="1" applyFill="1" applyBorder="1" applyProtection="1">
      <alignment vertical="center"/>
      <protection hidden="1"/>
    </xf>
    <xf numFmtId="41" fontId="20" fillId="3" borderId="4" xfId="0" applyNumberFormat="1" applyFont="1" applyFill="1" applyBorder="1" applyProtection="1">
      <alignment vertical="center"/>
      <protection hidden="1"/>
    </xf>
    <xf numFmtId="41" fontId="20" fillId="3" borderId="22" xfId="1" applyFont="1" applyFill="1" applyBorder="1" applyAlignment="1" applyProtection="1">
      <alignment vertical="center"/>
      <protection hidden="1"/>
    </xf>
    <xf numFmtId="41" fontId="20" fillId="3" borderId="15" xfId="1" applyFont="1" applyFill="1" applyBorder="1" applyAlignment="1" applyProtection="1">
      <alignment vertical="center"/>
      <protection hidden="1"/>
    </xf>
    <xf numFmtId="41" fontId="16" fillId="3" borderId="33" xfId="0" applyNumberFormat="1" applyFont="1" applyFill="1" applyBorder="1" applyProtection="1">
      <alignment vertical="center"/>
      <protection hidden="1"/>
    </xf>
    <xf numFmtId="41" fontId="16" fillId="3" borderId="4" xfId="0" applyNumberFormat="1" applyFont="1" applyFill="1" applyBorder="1" applyProtection="1">
      <alignment vertical="center"/>
      <protection hidden="1"/>
    </xf>
    <xf numFmtId="41" fontId="16" fillId="3" borderId="22" xfId="1" applyFont="1" applyFill="1" applyBorder="1" applyAlignment="1" applyProtection="1">
      <alignment vertical="center"/>
      <protection hidden="1"/>
    </xf>
    <xf numFmtId="41" fontId="16" fillId="3" borderId="15" xfId="1" applyFont="1" applyFill="1" applyBorder="1" applyAlignment="1" applyProtection="1">
      <alignment vertical="center"/>
      <protection hidden="1"/>
    </xf>
    <xf numFmtId="0" fontId="16" fillId="7" borderId="3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4" fillId="13" borderId="23" xfId="0" applyFont="1" applyFill="1" applyBorder="1" applyAlignment="1">
      <alignment horizontal="center" vertical="center"/>
    </xf>
    <xf numFmtId="0" fontId="14" fillId="13" borderId="51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6" fillId="7" borderId="90" xfId="0" applyFont="1" applyFill="1" applyBorder="1" applyAlignment="1">
      <alignment horizontal="center" vertical="center"/>
    </xf>
    <xf numFmtId="0" fontId="16" fillId="7" borderId="92" xfId="0" applyFont="1" applyFill="1" applyBorder="1" applyAlignment="1">
      <alignment horizontal="center" vertical="center"/>
    </xf>
    <xf numFmtId="0" fontId="14" fillId="3" borderId="23" xfId="0" applyFont="1" applyFill="1" applyBorder="1" applyAlignment="1" applyProtection="1">
      <alignment horizontal="center" vertical="center"/>
      <protection locked="0"/>
    </xf>
    <xf numFmtId="0" fontId="14" fillId="3" borderId="35" xfId="0" applyFont="1" applyFill="1" applyBorder="1" applyAlignment="1" applyProtection="1">
      <alignment horizontal="center" vertical="center"/>
      <protection locked="0"/>
    </xf>
    <xf numFmtId="0" fontId="19" fillId="0" borderId="69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6" fillId="0" borderId="34" xfId="0" applyFont="1" applyBorder="1" applyAlignment="1">
      <alignment horizontal="left" vertical="center"/>
    </xf>
    <xf numFmtId="0" fontId="16" fillId="0" borderId="44" xfId="0" applyFont="1" applyBorder="1" applyAlignment="1">
      <alignment horizontal="left" vertical="center"/>
    </xf>
    <xf numFmtId="0" fontId="16" fillId="0" borderId="69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7" borderId="91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left" vertical="center"/>
    </xf>
    <xf numFmtId="0" fontId="16" fillId="0" borderId="55" xfId="0" applyFont="1" applyBorder="1" applyAlignment="1">
      <alignment horizontal="left" vertical="center"/>
    </xf>
    <xf numFmtId="0" fontId="16" fillId="0" borderId="22" xfId="0" applyFont="1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27" fillId="0" borderId="21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0" fontId="27" fillId="0" borderId="12" xfId="0" applyFont="1" applyBorder="1" applyAlignment="1">
      <alignment horizontal="left" vertical="center"/>
    </xf>
    <xf numFmtId="0" fontId="14" fillId="0" borderId="67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4" fillId="10" borderId="25" xfId="0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6" fillId="4" borderId="100" xfId="0" applyFont="1" applyFill="1" applyBorder="1" applyAlignment="1">
      <alignment horizontal="center" vertical="center"/>
    </xf>
    <xf numFmtId="0" fontId="16" fillId="4" borderId="101" xfId="0" applyFont="1" applyFill="1" applyBorder="1" applyAlignment="1">
      <alignment horizontal="center" vertical="center"/>
    </xf>
    <xf numFmtId="0" fontId="16" fillId="4" borderId="71" xfId="0" applyFont="1" applyFill="1" applyBorder="1" applyAlignment="1">
      <alignment horizontal="center" vertical="center"/>
    </xf>
    <xf numFmtId="0" fontId="16" fillId="0" borderId="67" xfId="0" applyFont="1" applyBorder="1" applyAlignment="1">
      <alignment horizontal="left" vertical="center"/>
    </xf>
    <xf numFmtId="0" fontId="16" fillId="0" borderId="20" xfId="0" applyFont="1" applyBorder="1" applyAlignment="1">
      <alignment horizontal="left" vertical="center"/>
    </xf>
    <xf numFmtId="0" fontId="16" fillId="5" borderId="93" xfId="0" applyFont="1" applyFill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16" fillId="5" borderId="2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6" fillId="4" borderId="30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4" fillId="10" borderId="27" xfId="0" applyFont="1" applyFill="1" applyBorder="1" applyAlignment="1">
      <alignment horizontal="center" vertical="center"/>
    </xf>
    <xf numFmtId="0" fontId="16" fillId="4" borderId="107" xfId="0" applyFont="1" applyFill="1" applyBorder="1" applyAlignment="1">
      <alignment horizontal="center" vertical="center"/>
    </xf>
    <xf numFmtId="0" fontId="14" fillId="6" borderId="93" xfId="0" applyFont="1" applyFill="1" applyBorder="1" applyAlignment="1">
      <alignment horizontal="center" vertical="center"/>
    </xf>
    <xf numFmtId="0" fontId="14" fillId="6" borderId="26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6" fillId="4" borderId="93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109" xfId="0" applyFont="1" applyFill="1" applyBorder="1" applyAlignment="1">
      <alignment horizontal="center" vertical="center"/>
    </xf>
    <xf numFmtId="0" fontId="40" fillId="5" borderId="0" xfId="0" applyFont="1" applyFill="1" applyBorder="1" applyAlignment="1">
      <alignment horizontal="left" vertical="top" wrapText="1"/>
    </xf>
    <xf numFmtId="0" fontId="40" fillId="5" borderId="0" xfId="0" applyFont="1" applyFill="1" applyBorder="1" applyAlignment="1">
      <alignment horizontal="left" vertical="top"/>
    </xf>
    <xf numFmtId="0" fontId="13" fillId="13" borderId="78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13" borderId="19" xfId="0" applyFont="1" applyFill="1" applyBorder="1" applyAlignment="1">
      <alignment horizontal="center" vertical="center"/>
    </xf>
    <xf numFmtId="0" fontId="13" fillId="13" borderId="80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12" borderId="11" xfId="0" applyFont="1" applyFill="1" applyBorder="1" applyAlignment="1">
      <alignment horizontal="center" vertical="center"/>
    </xf>
    <xf numFmtId="0" fontId="13" fillId="13" borderId="59" xfId="0" applyFont="1" applyFill="1" applyBorder="1" applyAlignment="1">
      <alignment horizontal="center" vertical="center"/>
    </xf>
    <xf numFmtId="0" fontId="13" fillId="13" borderId="82" xfId="0" applyFont="1" applyFill="1" applyBorder="1" applyAlignment="1">
      <alignment horizontal="center" vertical="center"/>
    </xf>
    <xf numFmtId="0" fontId="13" fillId="13" borderId="72" xfId="0" applyFont="1" applyFill="1" applyBorder="1" applyAlignment="1">
      <alignment horizontal="center" vertical="center"/>
    </xf>
    <xf numFmtId="0" fontId="13" fillId="13" borderId="83" xfId="0" applyFont="1" applyFill="1" applyBorder="1" applyAlignment="1">
      <alignment horizontal="center" vertical="center"/>
    </xf>
    <xf numFmtId="0" fontId="13" fillId="13" borderId="84" xfId="0" applyFont="1" applyFill="1" applyBorder="1" applyAlignment="1">
      <alignment horizontal="center" vertical="center"/>
    </xf>
    <xf numFmtId="0" fontId="13" fillId="0" borderId="31" xfId="0" applyFont="1" applyBorder="1" applyProtection="1">
      <alignment vertical="center"/>
      <protection locked="0"/>
    </xf>
    <xf numFmtId="0" fontId="13" fillId="0" borderId="79" xfId="0" applyFont="1" applyBorder="1" applyProtection="1">
      <alignment vertical="center"/>
      <protection locked="0"/>
    </xf>
    <xf numFmtId="0" fontId="13" fillId="0" borderId="73" xfId="0" applyFont="1" applyBorder="1" applyProtection="1">
      <alignment vertical="center"/>
      <protection locked="0"/>
    </xf>
    <xf numFmtId="0" fontId="13" fillId="0" borderId="30" xfId="0" applyFont="1" applyBorder="1" applyProtection="1">
      <alignment vertical="center"/>
      <protection locked="0"/>
    </xf>
    <xf numFmtId="0" fontId="13" fillId="0" borderId="78" xfId="0" applyFont="1" applyBorder="1" applyProtection="1">
      <alignment vertical="center"/>
      <protection locked="0"/>
    </xf>
    <xf numFmtId="0" fontId="13" fillId="0" borderId="77" xfId="0" applyFont="1" applyBorder="1" applyProtection="1">
      <alignment vertical="center"/>
      <protection locked="0"/>
    </xf>
    <xf numFmtId="0" fontId="13" fillId="0" borderId="8" xfId="0" applyFont="1" applyBorder="1" applyProtection="1">
      <alignment vertical="center"/>
      <protection locked="0"/>
    </xf>
    <xf numFmtId="0" fontId="13" fillId="0" borderId="80" xfId="0" applyFont="1" applyBorder="1" applyProtection="1">
      <alignment vertical="center"/>
      <protection locked="0"/>
    </xf>
    <xf numFmtId="0" fontId="13" fillId="0" borderId="74" xfId="0" applyFont="1" applyBorder="1" applyProtection="1">
      <alignment vertical="center"/>
      <protection locked="0"/>
    </xf>
    <xf numFmtId="0" fontId="13" fillId="13" borderId="17" xfId="0" applyFont="1" applyFill="1" applyBorder="1">
      <alignment vertical="center"/>
    </xf>
    <xf numFmtId="0" fontId="13" fillId="13" borderId="73" xfId="0" applyFont="1" applyFill="1" applyBorder="1">
      <alignment vertical="center"/>
    </xf>
    <xf numFmtId="0" fontId="13" fillId="13" borderId="18" xfId="0" applyFont="1" applyFill="1" applyBorder="1">
      <alignment vertical="center"/>
    </xf>
    <xf numFmtId="0" fontId="13" fillId="13" borderId="77" xfId="0" applyFont="1" applyFill="1" applyBorder="1">
      <alignment vertical="center"/>
    </xf>
    <xf numFmtId="0" fontId="13" fillId="13" borderId="19" xfId="0" applyFont="1" applyFill="1" applyBorder="1">
      <alignment vertical="center"/>
    </xf>
    <xf numFmtId="0" fontId="13" fillId="13" borderId="74" xfId="0" applyFont="1" applyFill="1" applyBorder="1">
      <alignment vertical="center"/>
    </xf>
    <xf numFmtId="0" fontId="15" fillId="0" borderId="4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  <color rgb="FFFF5050"/>
      <color rgb="FFE0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view="pageBreakPreview" zoomScaleNormal="100" zoomScaleSheetLayoutView="100" workbookViewId="0">
      <pane xSplit="19" ySplit="42" topLeftCell="T43" activePane="bottomRight" state="frozen"/>
      <selection pane="topRight" activeCell="S1" sqref="S1"/>
      <selection pane="bottomLeft" activeCell="A42" sqref="A42"/>
      <selection pane="bottomRight" activeCell="D13" sqref="D13:E13"/>
    </sheetView>
  </sheetViews>
  <sheetFormatPr defaultColWidth="9" defaultRowHeight="13.5" x14ac:dyDescent="0.3"/>
  <cols>
    <col min="1" max="1" width="0.625" style="115" customWidth="1"/>
    <col min="2" max="2" width="2.125" style="45" customWidth="1"/>
    <col min="3" max="3" width="32.125" style="53" customWidth="1"/>
    <col min="4" max="5" width="10" style="53" customWidth="1"/>
    <col min="6" max="6" width="2" style="45" customWidth="1"/>
    <col min="7" max="8" width="0.625" style="45" customWidth="1"/>
    <col min="9" max="9" width="6" style="53" bestFit="1" customWidth="1"/>
    <col min="10" max="10" width="15.875" style="53" customWidth="1"/>
    <col min="11" max="11" width="22.125" style="83" bestFit="1" customWidth="1"/>
    <col min="12" max="12" width="16.875" style="84" customWidth="1"/>
    <col min="13" max="13" width="2.5" style="47" customWidth="1"/>
    <col min="14" max="14" width="6" style="53" bestFit="1" customWidth="1"/>
    <col min="15" max="15" width="12.125" style="53" bestFit="1" customWidth="1"/>
    <col min="16" max="16" width="2.5" style="53" customWidth="1"/>
    <col min="17" max="17" width="27.625" style="53" customWidth="1"/>
    <col min="18" max="18" width="16.875" style="53" customWidth="1"/>
    <col min="19" max="19" width="9.75" style="45" customWidth="1"/>
    <col min="20" max="16384" width="9" style="53"/>
  </cols>
  <sheetData>
    <row r="1" spans="1:27" s="45" customFormat="1" ht="4.5" customHeight="1" thickBot="1" x14ac:dyDescent="0.35">
      <c r="A1" s="115"/>
      <c r="B1" s="115"/>
      <c r="C1" s="115"/>
      <c r="D1" s="115"/>
      <c r="E1" s="115"/>
      <c r="F1" s="115"/>
      <c r="G1" s="140"/>
      <c r="L1" s="46"/>
      <c r="M1" s="47"/>
      <c r="AA1" s="48" t="s">
        <v>150</v>
      </c>
    </row>
    <row r="2" spans="1:27" ht="15" customHeight="1" thickTop="1" thickBot="1" x14ac:dyDescent="0.35">
      <c r="B2" s="112"/>
      <c r="C2" s="135"/>
      <c r="D2" s="135"/>
      <c r="E2" s="135"/>
      <c r="F2" s="122"/>
      <c r="G2" s="139"/>
      <c r="I2" s="49" t="s">
        <v>48</v>
      </c>
      <c r="J2" s="50" t="s">
        <v>47</v>
      </c>
      <c r="K2" s="51" t="s">
        <v>46</v>
      </c>
      <c r="L2" s="52" t="str">
        <f>"예산("&amp;D6&amp;")"</f>
        <v>예산(천원)</v>
      </c>
      <c r="N2" s="49" t="s">
        <v>48</v>
      </c>
      <c r="O2" s="50" t="s">
        <v>47</v>
      </c>
      <c r="P2" s="260" t="s">
        <v>46</v>
      </c>
      <c r="Q2" s="261"/>
      <c r="R2" s="52" t="str">
        <f>"예산("&amp;D6&amp;")"</f>
        <v>예산(천원)</v>
      </c>
    </row>
    <row r="3" spans="1:27" ht="15" customHeight="1" thickTop="1" thickBot="1" x14ac:dyDescent="0.35">
      <c r="B3" s="113"/>
      <c r="C3" s="211" t="s">
        <v>149</v>
      </c>
      <c r="D3" s="211"/>
      <c r="E3" s="211"/>
      <c r="F3" s="123"/>
      <c r="G3" s="139"/>
      <c r="I3" s="277" t="s">
        <v>45</v>
      </c>
      <c r="J3" s="296" t="s">
        <v>44</v>
      </c>
      <c r="K3" s="171" t="s">
        <v>43</v>
      </c>
      <c r="L3" s="96">
        <f>SUMIF(인건비계상기준!$A:$A,$K$3,인건비계상기준!I:I)</f>
        <v>30000000</v>
      </c>
      <c r="N3" s="277" t="s">
        <v>58</v>
      </c>
      <c r="O3" s="290" t="s">
        <v>14</v>
      </c>
      <c r="P3" s="264" t="s">
        <v>156</v>
      </c>
      <c r="Q3" s="265"/>
      <c r="R3" s="96"/>
    </row>
    <row r="4" spans="1:27" ht="15" customHeight="1" thickTop="1" thickBot="1" x14ac:dyDescent="0.35">
      <c r="B4" s="113"/>
      <c r="C4" s="211"/>
      <c r="D4" s="211"/>
      <c r="E4" s="211"/>
      <c r="F4" s="124"/>
      <c r="G4" s="140"/>
      <c r="I4" s="278"/>
      <c r="J4" s="280"/>
      <c r="K4" s="147" t="s">
        <v>42</v>
      </c>
      <c r="L4" s="96">
        <f>SUMIF(인건비계상기준!$A:$A,$K$4,인건비계상기준!I:I)</f>
        <v>0</v>
      </c>
      <c r="N4" s="278"/>
      <c r="O4" s="291"/>
      <c r="P4" s="255" t="s">
        <v>157</v>
      </c>
      <c r="Q4" s="256"/>
      <c r="R4" s="87"/>
    </row>
    <row r="5" spans="1:27" ht="15" customHeight="1" thickTop="1" thickBot="1" x14ac:dyDescent="0.35">
      <c r="B5" s="113"/>
      <c r="C5" s="115"/>
      <c r="D5" s="115"/>
      <c r="E5" s="115"/>
      <c r="F5" s="125"/>
      <c r="G5" s="141"/>
      <c r="I5" s="278"/>
      <c r="J5" s="280"/>
      <c r="K5" s="147" t="s">
        <v>41</v>
      </c>
      <c r="L5" s="96">
        <f>SUMIF(인건비계상기준!$A:$A,$K$5,인건비계상기준!I:I)</f>
        <v>0</v>
      </c>
      <c r="N5" s="278"/>
      <c r="O5" s="292"/>
      <c r="P5" s="266" t="s">
        <v>158</v>
      </c>
      <c r="Q5" s="267"/>
      <c r="R5" s="88"/>
    </row>
    <row r="6" spans="1:27" ht="15" customHeight="1" thickTop="1" thickBot="1" x14ac:dyDescent="0.35">
      <c r="B6" s="113"/>
      <c r="C6" s="101" t="s">
        <v>133</v>
      </c>
      <c r="D6" s="215" t="s">
        <v>182</v>
      </c>
      <c r="E6" s="216"/>
      <c r="F6" s="124"/>
      <c r="G6" s="140"/>
      <c r="I6" s="278"/>
      <c r="J6" s="281"/>
      <c r="K6" s="170" t="s">
        <v>49</v>
      </c>
      <c r="L6" s="96">
        <f>SUMIF(인건비계상기준!$A:$A,$K$6,인건비계상기준!I:I)</f>
        <v>0</v>
      </c>
      <c r="N6" s="278"/>
      <c r="O6" s="54" t="s">
        <v>13</v>
      </c>
      <c r="P6" s="268" t="s">
        <v>12</v>
      </c>
      <c r="Q6" s="269"/>
      <c r="R6" s="90"/>
    </row>
    <row r="7" spans="1:27" ht="15" customHeight="1" thickBot="1" x14ac:dyDescent="0.35">
      <c r="B7" s="113"/>
      <c r="C7" s="115"/>
      <c r="D7" s="115"/>
      <c r="E7" s="115"/>
      <c r="F7" s="125"/>
      <c r="G7" s="141"/>
      <c r="I7" s="278"/>
      <c r="J7" s="279" t="s">
        <v>40</v>
      </c>
      <c r="K7" s="162" t="s">
        <v>39</v>
      </c>
      <c r="L7" s="92"/>
      <c r="N7" s="278"/>
      <c r="O7" s="54" t="s">
        <v>159</v>
      </c>
      <c r="P7" s="270" t="s">
        <v>159</v>
      </c>
      <c r="Q7" s="272"/>
      <c r="R7" s="90"/>
    </row>
    <row r="8" spans="1:27" ht="15" customHeight="1" thickBot="1" x14ac:dyDescent="0.35">
      <c r="B8" s="113"/>
      <c r="C8" s="217" t="s">
        <v>77</v>
      </c>
      <c r="D8" s="218"/>
      <c r="E8" s="56"/>
      <c r="F8" s="126"/>
      <c r="G8" s="142"/>
      <c r="I8" s="278"/>
      <c r="J8" s="280"/>
      <c r="K8" s="163" t="s">
        <v>38</v>
      </c>
      <c r="L8" s="87"/>
      <c r="N8" s="278"/>
      <c r="O8" s="55" t="s">
        <v>11</v>
      </c>
      <c r="P8" s="270" t="s">
        <v>10</v>
      </c>
      <c r="Q8" s="271"/>
      <c r="R8" s="90"/>
    </row>
    <row r="9" spans="1:27" ht="15" customHeight="1" thickBot="1" x14ac:dyDescent="0.35">
      <c r="B9" s="113"/>
      <c r="C9" s="60" t="s">
        <v>136</v>
      </c>
      <c r="D9" s="219">
        <v>0</v>
      </c>
      <c r="E9" s="220"/>
      <c r="F9" s="127">
        <f>IF(D6="원",D9,IF(D6="천원",D9*1000,IF(D6="백만원",D9*1000000)))</f>
        <v>0</v>
      </c>
      <c r="G9" s="143"/>
      <c r="I9" s="278"/>
      <c r="J9" s="280"/>
      <c r="K9" s="163" t="s">
        <v>37</v>
      </c>
      <c r="L9" s="87"/>
      <c r="N9" s="295"/>
      <c r="O9" s="238" t="s">
        <v>135</v>
      </c>
      <c r="P9" s="238"/>
      <c r="Q9" s="238"/>
      <c r="R9" s="91">
        <f>SUM(L3:L5,L7:L40,R3:R8)</f>
        <v>30000000</v>
      </c>
    </row>
    <row r="10" spans="1:27" ht="15" customHeight="1" thickBot="1" x14ac:dyDescent="0.35">
      <c r="B10" s="113"/>
      <c r="C10" s="86" t="s">
        <v>137</v>
      </c>
      <c r="D10" s="219">
        <v>0</v>
      </c>
      <c r="E10" s="220"/>
      <c r="F10" s="126"/>
      <c r="G10" s="142"/>
      <c r="I10" s="278"/>
      <c r="J10" s="281"/>
      <c r="K10" s="163" t="s">
        <v>36</v>
      </c>
      <c r="L10" s="87"/>
      <c r="N10" s="297" t="s">
        <v>9</v>
      </c>
      <c r="O10" s="287" t="s">
        <v>8</v>
      </c>
      <c r="P10" s="275" t="s">
        <v>7</v>
      </c>
      <c r="Q10" s="276"/>
      <c r="R10" s="92"/>
    </row>
    <row r="11" spans="1:27" ht="15" customHeight="1" x14ac:dyDescent="0.3">
      <c r="B11" s="113"/>
      <c r="C11" s="86" t="s">
        <v>138</v>
      </c>
      <c r="D11" s="224">
        <v>0.19059999999999999</v>
      </c>
      <c r="E11" s="225"/>
      <c r="F11" s="124"/>
      <c r="G11" s="140"/>
      <c r="I11" s="278"/>
      <c r="J11" s="300" t="s">
        <v>35</v>
      </c>
      <c r="K11" s="164" t="s">
        <v>34</v>
      </c>
      <c r="L11" s="158"/>
      <c r="N11" s="298"/>
      <c r="O11" s="288"/>
      <c r="P11" s="255" t="s">
        <v>6</v>
      </c>
      <c r="Q11" s="256"/>
      <c r="R11" s="87"/>
    </row>
    <row r="12" spans="1:27" ht="15" customHeight="1" thickBot="1" x14ac:dyDescent="0.35">
      <c r="B12" s="113"/>
      <c r="C12" s="57" t="s">
        <v>139</v>
      </c>
      <c r="D12" s="226">
        <v>0.01</v>
      </c>
      <c r="E12" s="227"/>
      <c r="F12" s="128"/>
      <c r="G12" s="141"/>
      <c r="I12" s="278"/>
      <c r="J12" s="301"/>
      <c r="K12" s="161" t="s">
        <v>33</v>
      </c>
      <c r="L12" s="159"/>
      <c r="N12" s="298"/>
      <c r="O12" s="289"/>
      <c r="P12" s="266" t="s">
        <v>5</v>
      </c>
      <c r="Q12" s="267"/>
      <c r="R12" s="88"/>
    </row>
    <row r="13" spans="1:27" ht="15" customHeight="1" x14ac:dyDescent="0.3">
      <c r="B13" s="114"/>
      <c r="C13" s="58" t="s">
        <v>140</v>
      </c>
      <c r="D13" s="228">
        <f>D10-D14</f>
        <v>0</v>
      </c>
      <c r="E13" s="229"/>
      <c r="F13" s="129"/>
      <c r="G13" s="144"/>
      <c r="I13" s="278"/>
      <c r="J13" s="301"/>
      <c r="K13" s="161" t="s">
        <v>32</v>
      </c>
      <c r="L13" s="159"/>
      <c r="N13" s="298"/>
      <c r="O13" s="284" t="s">
        <v>4</v>
      </c>
      <c r="P13" s="293" t="s">
        <v>177</v>
      </c>
      <c r="Q13" s="294"/>
      <c r="R13" s="189"/>
    </row>
    <row r="14" spans="1:27" ht="15" customHeight="1" thickBot="1" x14ac:dyDescent="0.35">
      <c r="B14" s="114"/>
      <c r="C14" s="59" t="s">
        <v>141</v>
      </c>
      <c r="D14" s="230">
        <f>ROUNDDOWN((D10-R8-L39)/(1+1/D11),0)</f>
        <v>0</v>
      </c>
      <c r="E14" s="231"/>
      <c r="F14" s="124"/>
      <c r="G14" s="140"/>
      <c r="I14" s="278"/>
      <c r="J14" s="301"/>
      <c r="K14" s="161" t="s">
        <v>31</v>
      </c>
      <c r="L14" s="159"/>
      <c r="N14" s="298"/>
      <c r="O14" s="285"/>
      <c r="P14" s="273" t="s">
        <v>3</v>
      </c>
      <c r="Q14" s="274"/>
      <c r="R14" s="190">
        <f>D14-R15</f>
        <v>-300000</v>
      </c>
    </row>
    <row r="15" spans="1:27" ht="15" customHeight="1" x14ac:dyDescent="0.3">
      <c r="B15" s="113"/>
      <c r="C15" s="60" t="s">
        <v>142</v>
      </c>
      <c r="D15" s="232">
        <f>ROUNDUP((D10-L39-R8)*0.4-R19,0)</f>
        <v>0</v>
      </c>
      <c r="E15" s="233"/>
      <c r="F15" s="124"/>
      <c r="G15" s="140"/>
      <c r="I15" s="278"/>
      <c r="J15" s="301"/>
      <c r="K15" s="161" t="s">
        <v>30</v>
      </c>
      <c r="L15" s="159"/>
      <c r="N15" s="298"/>
      <c r="O15" s="285"/>
      <c r="P15" s="273" t="s">
        <v>2</v>
      </c>
      <c r="Q15" s="274"/>
      <c r="R15" s="190">
        <f>SUM(L3:L6)*D12</f>
        <v>300000</v>
      </c>
    </row>
    <row r="16" spans="1:27" ht="15" customHeight="1" thickBot="1" x14ac:dyDescent="0.35">
      <c r="A16" s="124"/>
      <c r="B16" s="115"/>
      <c r="C16" s="59" t="s">
        <v>143</v>
      </c>
      <c r="D16" s="234">
        <f>ROUNDDOWN(SUM(L3:L6)*0.2,0)</f>
        <v>6000000</v>
      </c>
      <c r="E16" s="235"/>
      <c r="F16" s="124"/>
      <c r="G16" s="140"/>
      <c r="I16" s="278"/>
      <c r="J16" s="301"/>
      <c r="K16" s="161" t="s">
        <v>29</v>
      </c>
      <c r="L16" s="159"/>
      <c r="N16" s="298"/>
      <c r="O16" s="285"/>
      <c r="P16" s="282" t="s">
        <v>1</v>
      </c>
      <c r="Q16" s="283"/>
      <c r="R16" s="191"/>
    </row>
    <row r="17" spans="1:18" ht="15" customHeight="1" thickBot="1" x14ac:dyDescent="0.35">
      <c r="A17" s="124"/>
      <c r="B17" s="115"/>
      <c r="C17" s="115"/>
      <c r="D17" s="115"/>
      <c r="E17" s="115"/>
      <c r="F17" s="124"/>
      <c r="G17" s="140"/>
      <c r="I17" s="278"/>
      <c r="J17" s="301"/>
      <c r="K17" s="161" t="s">
        <v>162</v>
      </c>
      <c r="L17" s="159"/>
      <c r="N17" s="298"/>
      <c r="O17" s="285"/>
      <c r="P17" s="282" t="s">
        <v>0</v>
      </c>
      <c r="Q17" s="283"/>
      <c r="R17" s="192"/>
    </row>
    <row r="18" spans="1:18" ht="15" customHeight="1" thickBot="1" x14ac:dyDescent="0.35">
      <c r="A18" s="124"/>
      <c r="B18" s="115"/>
      <c r="C18" s="212" t="s">
        <v>76</v>
      </c>
      <c r="D18" s="213"/>
      <c r="E18" s="214"/>
      <c r="F18" s="124"/>
      <c r="G18" s="140"/>
      <c r="I18" s="278"/>
      <c r="J18" s="301"/>
      <c r="K18" s="161" t="s">
        <v>28</v>
      </c>
      <c r="L18" s="159"/>
      <c r="N18" s="298"/>
      <c r="O18" s="286"/>
      <c r="P18" s="257" t="s">
        <v>176</v>
      </c>
      <c r="Q18" s="258"/>
      <c r="R18" s="192"/>
    </row>
    <row r="19" spans="1:18" ht="15" customHeight="1" thickBot="1" x14ac:dyDescent="0.35">
      <c r="A19" s="124"/>
      <c r="B19" s="115"/>
      <c r="C19" s="221" t="s">
        <v>145</v>
      </c>
      <c r="D19" s="222"/>
      <c r="E19" s="223"/>
      <c r="F19" s="124"/>
      <c r="G19" s="140"/>
      <c r="I19" s="278"/>
      <c r="J19" s="301"/>
      <c r="K19" s="161" t="s">
        <v>27</v>
      </c>
      <c r="L19" s="159"/>
      <c r="N19" s="299"/>
      <c r="O19" s="239" t="s">
        <v>53</v>
      </c>
      <c r="P19" s="240"/>
      <c r="Q19" s="240"/>
      <c r="R19" s="93">
        <f>SUM(R10:R18)</f>
        <v>0</v>
      </c>
    </row>
    <row r="20" spans="1:18" ht="15" customHeight="1" thickBot="1" x14ac:dyDescent="0.35">
      <c r="B20" s="116"/>
      <c r="C20" s="136"/>
      <c r="D20" s="136"/>
      <c r="E20" s="136"/>
      <c r="F20" s="130"/>
      <c r="G20" s="140"/>
      <c r="I20" s="278"/>
      <c r="J20" s="301"/>
      <c r="K20" s="161" t="s">
        <v>26</v>
      </c>
      <c r="L20" s="159"/>
      <c r="N20" s="242" t="s">
        <v>144</v>
      </c>
      <c r="O20" s="243"/>
      <c r="P20" s="243"/>
      <c r="Q20" s="243"/>
      <c r="R20" s="94">
        <f>R9+R19</f>
        <v>30000000</v>
      </c>
    </row>
    <row r="21" spans="1:18" ht="15" customHeight="1" thickTop="1" thickBot="1" x14ac:dyDescent="0.35">
      <c r="B21" s="115"/>
      <c r="C21" s="115"/>
      <c r="D21" s="115"/>
      <c r="E21" s="115"/>
      <c r="F21" s="115"/>
      <c r="G21" s="140"/>
      <c r="I21" s="278"/>
      <c r="J21" s="301"/>
      <c r="K21" s="161" t="s">
        <v>25</v>
      </c>
      <c r="L21" s="159"/>
      <c r="N21" s="253" t="s">
        <v>59</v>
      </c>
      <c r="O21" s="254"/>
      <c r="P21" s="254"/>
      <c r="Q21" s="254"/>
      <c r="R21" s="95">
        <v>0</v>
      </c>
    </row>
    <row r="22" spans="1:18" ht="15" customHeight="1" thickBot="1" x14ac:dyDescent="0.35">
      <c r="B22" s="117"/>
      <c r="C22" s="137"/>
      <c r="D22" s="137"/>
      <c r="E22" s="137"/>
      <c r="F22" s="117"/>
      <c r="G22" s="140"/>
      <c r="I22" s="278"/>
      <c r="J22" s="301"/>
      <c r="K22" s="161" t="s">
        <v>24</v>
      </c>
      <c r="L22" s="159"/>
      <c r="N22" s="244" t="s">
        <v>146</v>
      </c>
      <c r="O22" s="245"/>
      <c r="P22" s="245"/>
      <c r="Q22" s="246"/>
      <c r="R22" s="89">
        <f>R20+R21</f>
        <v>30000000</v>
      </c>
    </row>
    <row r="23" spans="1:18" ht="15" customHeight="1" thickTop="1" thickBot="1" x14ac:dyDescent="0.35">
      <c r="B23" s="148"/>
      <c r="C23" s="149"/>
      <c r="D23" s="149"/>
      <c r="E23" s="149"/>
      <c r="F23" s="150"/>
      <c r="G23" s="140"/>
      <c r="I23" s="278"/>
      <c r="J23" s="301"/>
      <c r="K23" s="161" t="s">
        <v>23</v>
      </c>
      <c r="L23" s="159"/>
      <c r="N23" s="45"/>
      <c r="O23" s="45"/>
      <c r="P23" s="45"/>
      <c r="Q23" s="45"/>
      <c r="R23" s="45"/>
    </row>
    <row r="24" spans="1:18" ht="15" customHeight="1" thickBot="1" x14ac:dyDescent="0.35">
      <c r="B24" s="118"/>
      <c r="C24" s="210" t="s">
        <v>147</v>
      </c>
      <c r="D24" s="210"/>
      <c r="E24" s="210"/>
      <c r="F24" s="131"/>
      <c r="G24" s="140"/>
      <c r="I24" s="278"/>
      <c r="J24" s="301"/>
      <c r="K24" s="161" t="s">
        <v>29</v>
      </c>
      <c r="L24" s="159"/>
      <c r="N24" s="251" t="s">
        <v>124</v>
      </c>
      <c r="O24" s="252"/>
      <c r="P24" s="45"/>
      <c r="Q24" s="262" t="s">
        <v>60</v>
      </c>
      <c r="R24" s="263"/>
    </row>
    <row r="25" spans="1:18" ht="15" customHeight="1" x14ac:dyDescent="0.3">
      <c r="B25" s="118"/>
      <c r="C25" s="210"/>
      <c r="D25" s="210"/>
      <c r="E25" s="210"/>
      <c r="F25" s="131"/>
      <c r="G25" s="140"/>
      <c r="I25" s="278"/>
      <c r="J25" s="301"/>
      <c r="K25" s="161" t="s">
        <v>151</v>
      </c>
      <c r="L25" s="159"/>
      <c r="N25" s="97"/>
      <c r="O25" s="98"/>
      <c r="P25" s="45"/>
      <c r="Q25" s="61" t="str">
        <f>"ㅇ 총 연구비("&amp;D6&amp;") (10억원 미만)"</f>
        <v>ㅇ 총 연구비(천원) (10억원 미만)</v>
      </c>
      <c r="R25" s="249" t="str">
        <f>IF(Q26&lt;1000000000,"[연심생략]","[연심대상]")</f>
        <v>[연심생략]</v>
      </c>
    </row>
    <row r="26" spans="1:18" ht="15" customHeight="1" thickBot="1" x14ac:dyDescent="0.35">
      <c r="B26" s="118"/>
      <c r="C26" s="138"/>
      <c r="D26" s="138"/>
      <c r="E26" s="115"/>
      <c r="F26" s="131"/>
      <c r="G26" s="140"/>
      <c r="I26" s="278"/>
      <c r="J26" s="301"/>
      <c r="K26" s="161" t="s">
        <v>22</v>
      </c>
      <c r="L26" s="159"/>
      <c r="N26" s="99"/>
      <c r="O26" s="100"/>
      <c r="P26" s="45"/>
      <c r="Q26" s="62">
        <f>D9*1000</f>
        <v>0</v>
      </c>
      <c r="R26" s="250"/>
    </row>
    <row r="27" spans="1:18" ht="15" customHeight="1" thickBot="1" x14ac:dyDescent="0.35">
      <c r="B27" s="118"/>
      <c r="C27" s="63" t="s">
        <v>47</v>
      </c>
      <c r="D27" s="102" t="s">
        <v>55</v>
      </c>
      <c r="E27" s="64" t="s">
        <v>78</v>
      </c>
      <c r="F27" s="132"/>
      <c r="G27" s="140"/>
      <c r="I27" s="278"/>
      <c r="J27" s="301"/>
      <c r="K27" s="161" t="s">
        <v>21</v>
      </c>
      <c r="L27" s="159"/>
      <c r="N27" s="99"/>
      <c r="O27" s="100"/>
      <c r="P27" s="45"/>
      <c r="Q27" s="61" t="s">
        <v>54</v>
      </c>
      <c r="R27" s="249" t="str">
        <f>IF((R20-R21-R8)&lt;&gt;0,IF(Q28&gt;=40%,"[연심생략]","[연심대상]"),"-")</f>
        <v>[연심생략]</v>
      </c>
    </row>
    <row r="28" spans="1:18" ht="15" customHeight="1" x14ac:dyDescent="0.3">
      <c r="B28" s="118"/>
      <c r="C28" s="66" t="s">
        <v>74</v>
      </c>
      <c r="D28" s="107"/>
      <c r="E28" s="67">
        <f>SUM(L3:L5)-D28</f>
        <v>30000000</v>
      </c>
      <c r="F28" s="133"/>
      <c r="G28" s="145"/>
      <c r="I28" s="278"/>
      <c r="J28" s="301"/>
      <c r="K28" s="161" t="s">
        <v>20</v>
      </c>
      <c r="L28" s="159"/>
      <c r="N28" s="99"/>
      <c r="O28" s="100"/>
      <c r="P28" s="45"/>
      <c r="Q28" s="195">
        <f>(L3+R19)/(R20-R8)</f>
        <v>1</v>
      </c>
      <c r="R28" s="250"/>
    </row>
    <row r="29" spans="1:18" ht="15" customHeight="1" x14ac:dyDescent="0.3">
      <c r="B29" s="118"/>
      <c r="C29" s="68" t="s">
        <v>40</v>
      </c>
      <c r="D29" s="103"/>
      <c r="E29" s="69">
        <f>SUM(L7:L10)-D29</f>
        <v>0</v>
      </c>
      <c r="F29" s="133"/>
      <c r="G29" s="145"/>
      <c r="I29" s="278"/>
      <c r="J29" s="301"/>
      <c r="K29" s="161" t="s">
        <v>19</v>
      </c>
      <c r="L29" s="159"/>
      <c r="N29" s="99"/>
      <c r="O29" s="100"/>
      <c r="P29" s="45"/>
      <c r="Q29" s="65" t="str">
        <f>"ㅇ *간접비 비율 ("&amp;ROUND(D11*100,2)&amp;"%)"</f>
        <v>ㅇ *간접비 비율 (19.06%)</v>
      </c>
      <c r="R29" s="249" t="str">
        <f>IF((R9-R8)&lt;&gt;0,IF(AND(Q30&gt;=D11-0.005%,Q30&lt;=D11),"[연심생략]",IF(Q30&lt;D11-0.005%,"[연심대상]","[하향필요]")),"-")</f>
        <v>[연심대상]</v>
      </c>
    </row>
    <row r="30" spans="1:18" ht="15" customHeight="1" thickBot="1" x14ac:dyDescent="0.35">
      <c r="B30" s="118"/>
      <c r="C30" s="68" t="s">
        <v>35</v>
      </c>
      <c r="D30" s="103"/>
      <c r="E30" s="69">
        <f>SUM(L11:L40)-D30</f>
        <v>0</v>
      </c>
      <c r="F30" s="133"/>
      <c r="G30" s="145"/>
      <c r="I30" s="278"/>
      <c r="J30" s="301"/>
      <c r="K30" s="161" t="s">
        <v>18</v>
      </c>
      <c r="L30" s="159"/>
      <c r="N30" s="99"/>
      <c r="O30" s="100"/>
      <c r="P30" s="45"/>
      <c r="Q30" s="196">
        <f>R19/(R9-R8-L39-R7)</f>
        <v>0</v>
      </c>
      <c r="R30" s="259"/>
    </row>
    <row r="31" spans="1:18" ht="15" customHeight="1" thickBot="1" x14ac:dyDescent="0.35">
      <c r="B31" s="118"/>
      <c r="C31" s="68" t="s">
        <v>14</v>
      </c>
      <c r="D31" s="103"/>
      <c r="E31" s="70">
        <f>SUM(R3:R5)-D31</f>
        <v>0</v>
      </c>
      <c r="F31" s="133"/>
      <c r="G31" s="145"/>
      <c r="I31" s="278"/>
      <c r="J31" s="301"/>
      <c r="K31" s="161" t="s">
        <v>160</v>
      </c>
      <c r="L31" s="159"/>
      <c r="N31" s="99"/>
      <c r="O31" s="100"/>
      <c r="P31" s="45"/>
      <c r="Q31" s="45"/>
      <c r="R31" s="45"/>
    </row>
    <row r="32" spans="1:18" ht="15" customHeight="1" x14ac:dyDescent="0.3">
      <c r="B32" s="118"/>
      <c r="C32" s="71" t="s">
        <v>13</v>
      </c>
      <c r="D32" s="103"/>
      <c r="E32" s="67">
        <f>R6-D32</f>
        <v>0</v>
      </c>
      <c r="F32" s="133"/>
      <c r="G32" s="145"/>
      <c r="I32" s="278"/>
      <c r="J32" s="301"/>
      <c r="K32" s="161" t="s">
        <v>17</v>
      </c>
      <c r="L32" s="159"/>
      <c r="N32" s="99"/>
      <c r="O32" s="100"/>
      <c r="P32" s="45"/>
      <c r="Q32" s="247" t="s">
        <v>148</v>
      </c>
      <c r="R32" s="248"/>
    </row>
    <row r="33" spans="1:23" ht="15" customHeight="1" x14ac:dyDescent="0.3">
      <c r="B33" s="118"/>
      <c r="C33" s="68" t="s">
        <v>10</v>
      </c>
      <c r="D33" s="103"/>
      <c r="E33" s="70">
        <f>R8-D33</f>
        <v>0</v>
      </c>
      <c r="F33" s="133"/>
      <c r="G33" s="145"/>
      <c r="I33" s="278"/>
      <c r="J33" s="301"/>
      <c r="K33" s="161" t="s">
        <v>16</v>
      </c>
      <c r="L33" s="159"/>
      <c r="N33" s="99"/>
      <c r="O33" s="100"/>
      <c r="P33" s="45"/>
      <c r="Q33" s="151" t="s">
        <v>75</v>
      </c>
      <c r="R33" s="236" t="str">
        <f>IF(SUM(L3:L6)&lt;&gt;0,IF(Q34&lt;=20%,"[적합]","[부적합]"),"-")</f>
        <v>[적합]</v>
      </c>
    </row>
    <row r="34" spans="1:23" ht="15" customHeight="1" thickBot="1" x14ac:dyDescent="0.35">
      <c r="B34" s="118"/>
      <c r="C34" s="72" t="s">
        <v>51</v>
      </c>
      <c r="D34" s="73">
        <f>SUM(D28:D33)</f>
        <v>0</v>
      </c>
      <c r="E34" s="74">
        <f>SUM(E28:E33)-D34</f>
        <v>30000000</v>
      </c>
      <c r="F34" s="133"/>
      <c r="G34" s="145"/>
      <c r="I34" s="278"/>
      <c r="J34" s="301"/>
      <c r="K34" s="161" t="s">
        <v>161</v>
      </c>
      <c r="L34" s="159"/>
      <c r="N34" s="99"/>
      <c r="O34" s="100"/>
      <c r="P34" s="45"/>
      <c r="Q34" s="152">
        <f>R6/SUM(L3:L6)</f>
        <v>0</v>
      </c>
      <c r="R34" s="241"/>
    </row>
    <row r="35" spans="1:23" ht="15" customHeight="1" x14ac:dyDescent="0.3">
      <c r="B35" s="119"/>
      <c r="C35" s="75" t="s">
        <v>56</v>
      </c>
      <c r="D35" s="108"/>
      <c r="E35" s="105">
        <f>R15-D35</f>
        <v>300000</v>
      </c>
      <c r="F35" s="134"/>
      <c r="G35" s="145"/>
      <c r="I35" s="278"/>
      <c r="J35" s="301"/>
      <c r="K35" s="161" t="s">
        <v>15</v>
      </c>
      <c r="L35" s="159"/>
      <c r="N35" s="99"/>
      <c r="O35" s="100"/>
      <c r="P35" s="45"/>
      <c r="Q35" s="153" t="s">
        <v>72</v>
      </c>
      <c r="R35" s="236" t="str">
        <f>IF(SUM(L3:L6)&lt;&gt;0,IF(AND(Q36&gt;=1%),"[적합]","[부적합]"),"-")</f>
        <v>[적합]</v>
      </c>
    </row>
    <row r="36" spans="1:23" ht="15" customHeight="1" x14ac:dyDescent="0.3">
      <c r="B36" s="118"/>
      <c r="C36" s="104" t="s">
        <v>57</v>
      </c>
      <c r="D36" s="106">
        <f>D37-D35</f>
        <v>0</v>
      </c>
      <c r="E36" s="70">
        <f>R19-R15-D36</f>
        <v>-300000</v>
      </c>
      <c r="F36" s="134"/>
      <c r="G36" s="145"/>
      <c r="I36" s="278"/>
      <c r="J36" s="301"/>
      <c r="K36" s="172" t="s">
        <v>164</v>
      </c>
      <c r="L36" s="173"/>
      <c r="N36" s="99"/>
      <c r="O36" s="100"/>
      <c r="P36" s="45"/>
      <c r="Q36" s="154">
        <f>R15/SUM(L3:L6)</f>
        <v>0.01</v>
      </c>
      <c r="R36" s="241"/>
    </row>
    <row r="37" spans="1:23" ht="15" customHeight="1" thickBot="1" x14ac:dyDescent="0.35">
      <c r="B37" s="118"/>
      <c r="C37" s="76" t="s">
        <v>50</v>
      </c>
      <c r="D37" s="109"/>
      <c r="E37" s="77">
        <f>R19-D37</f>
        <v>0</v>
      </c>
      <c r="F37" s="133"/>
      <c r="G37" s="145"/>
      <c r="I37" s="278"/>
      <c r="J37" s="301"/>
      <c r="K37" s="172" t="s">
        <v>178</v>
      </c>
      <c r="L37" s="173"/>
      <c r="N37" s="99"/>
      <c r="O37" s="100"/>
      <c r="P37" s="45"/>
      <c r="Q37" s="153" t="s">
        <v>73</v>
      </c>
      <c r="R37" s="236" t="str">
        <f>IF(Q38&lt;=0.4,"[적합]","[부적합]")</f>
        <v>[적합]</v>
      </c>
      <c r="W37" s="167"/>
    </row>
    <row r="38" spans="1:23" ht="15" customHeight="1" thickBot="1" x14ac:dyDescent="0.35">
      <c r="B38" s="118"/>
      <c r="C38" s="78" t="s">
        <v>59</v>
      </c>
      <c r="D38" s="110"/>
      <c r="E38" s="79">
        <f>R21-D38</f>
        <v>0</v>
      </c>
      <c r="F38" s="133"/>
      <c r="G38" s="145"/>
      <c r="I38" s="278"/>
      <c r="J38" s="302"/>
      <c r="K38" s="156" t="s">
        <v>155</v>
      </c>
      <c r="L38" s="160"/>
      <c r="N38" s="99"/>
      <c r="O38" s="100"/>
      <c r="P38" s="45"/>
      <c r="Q38" s="152">
        <f>R8/SUM(L3:L5,L7:L30,L31:L40,R3:R6)</f>
        <v>0</v>
      </c>
      <c r="R38" s="241"/>
    </row>
    <row r="39" spans="1:23" ht="15" customHeight="1" thickBot="1" x14ac:dyDescent="0.35">
      <c r="B39" s="118"/>
      <c r="C39" s="80" t="s">
        <v>52</v>
      </c>
      <c r="D39" s="111">
        <f>D34+D37+D38</f>
        <v>0</v>
      </c>
      <c r="E39" s="81">
        <f>R20-D39</f>
        <v>30000000</v>
      </c>
      <c r="F39" s="133"/>
      <c r="G39" s="145"/>
      <c r="I39" s="278"/>
      <c r="J39" s="166" t="s">
        <v>163</v>
      </c>
      <c r="K39" s="168" t="s">
        <v>163</v>
      </c>
      <c r="L39" s="165"/>
      <c r="N39" s="99"/>
      <c r="O39" s="100"/>
      <c r="P39" s="45"/>
      <c r="Q39" s="153" t="s">
        <v>134</v>
      </c>
      <c r="R39" s="236" t="str">
        <f>IF(Q40&lt;=40%,"[적합]","[부적합]")</f>
        <v>[적합]</v>
      </c>
    </row>
    <row r="40" spans="1:23" ht="15" customHeight="1" thickBot="1" x14ac:dyDescent="0.35">
      <c r="B40" s="118"/>
      <c r="C40" s="115"/>
      <c r="D40" s="115"/>
      <c r="E40" s="115"/>
      <c r="F40" s="133"/>
      <c r="G40" s="145"/>
      <c r="I40" s="194"/>
      <c r="J40" s="155" t="s">
        <v>153</v>
      </c>
      <c r="K40" s="169" t="s">
        <v>152</v>
      </c>
      <c r="L40" s="157">
        <v>0</v>
      </c>
      <c r="N40" s="99"/>
      <c r="O40" s="100"/>
      <c r="P40" s="45"/>
      <c r="Q40" s="197">
        <f>(L20+L22+L23+L26)/R9</f>
        <v>0</v>
      </c>
      <c r="R40" s="237"/>
    </row>
    <row r="41" spans="1:23" ht="15" customHeight="1" x14ac:dyDescent="0.3">
      <c r="B41" s="118"/>
      <c r="C41" s="115"/>
      <c r="D41" s="115"/>
      <c r="E41" s="115"/>
      <c r="F41" s="133"/>
      <c r="G41" s="145"/>
      <c r="I41" s="45"/>
      <c r="J41" s="45"/>
      <c r="K41" s="82"/>
      <c r="L41" s="46"/>
      <c r="N41" s="99"/>
      <c r="O41" s="100"/>
      <c r="P41" s="45"/>
      <c r="Q41" s="151" t="s">
        <v>154</v>
      </c>
      <c r="R41" s="236" t="str">
        <f>IF(SUM(L3:L6)&lt;&gt;0,IF(Q42&lt;=3%,"[적합]","[부적합]"),"-")</f>
        <v>[적합]</v>
      </c>
    </row>
    <row r="42" spans="1:23" s="45" customFormat="1" ht="15" customHeight="1" thickBot="1" x14ac:dyDescent="0.35">
      <c r="A42" s="115"/>
      <c r="B42" s="118"/>
      <c r="C42" s="115"/>
      <c r="D42" s="115"/>
      <c r="E42" s="115"/>
      <c r="F42" s="131"/>
      <c r="G42" s="140"/>
      <c r="I42" s="53"/>
      <c r="J42" s="53"/>
      <c r="K42" s="83"/>
      <c r="L42" s="84"/>
      <c r="M42" s="47"/>
      <c r="N42" s="99"/>
      <c r="O42" s="100"/>
      <c r="Q42" s="197">
        <f>L40/SUM(L3:L6)</f>
        <v>0</v>
      </c>
      <c r="R42" s="237"/>
    </row>
    <row r="43" spans="1:23" ht="15" customHeight="1" thickBot="1" x14ac:dyDescent="0.35">
      <c r="B43" s="120"/>
      <c r="C43" s="117"/>
      <c r="D43" s="117"/>
      <c r="E43" s="117"/>
      <c r="F43" s="121"/>
      <c r="N43" s="193"/>
      <c r="O43" s="193"/>
      <c r="P43" s="45"/>
      <c r="Q43" s="45"/>
      <c r="R43" s="45"/>
    </row>
    <row r="44" spans="1:23" ht="15" customHeight="1" thickTop="1" x14ac:dyDescent="0.3">
      <c r="N44" s="45"/>
      <c r="O44" s="45"/>
      <c r="P44" s="45"/>
      <c r="Q44" s="45"/>
      <c r="R44" s="45"/>
    </row>
    <row r="45" spans="1:23" hidden="1" x14ac:dyDescent="0.3"/>
    <row r="46" spans="1:23" hidden="1" x14ac:dyDescent="0.3">
      <c r="B46" s="53"/>
      <c r="F46" s="53"/>
      <c r="G46" s="53"/>
    </row>
    <row r="47" spans="1:23" x14ac:dyDescent="0.3">
      <c r="B47" s="53"/>
      <c r="F47" s="53"/>
      <c r="G47" s="53"/>
    </row>
    <row r="48" spans="1:23" x14ac:dyDescent="0.3">
      <c r="B48" s="53"/>
      <c r="F48" s="53"/>
      <c r="G48" s="53"/>
      <c r="N48" s="85"/>
    </row>
    <row r="49" spans="2:14" x14ac:dyDescent="0.3">
      <c r="B49" s="53"/>
      <c r="F49" s="53"/>
      <c r="G49" s="53"/>
      <c r="N49" s="85"/>
    </row>
    <row r="50" spans="2:14" x14ac:dyDescent="0.3">
      <c r="B50" s="53"/>
      <c r="F50" s="53"/>
      <c r="G50" s="53"/>
      <c r="N50" s="85"/>
    </row>
    <row r="51" spans="2:14" x14ac:dyDescent="0.3">
      <c r="B51" s="53"/>
      <c r="F51" s="53"/>
      <c r="G51" s="53"/>
      <c r="N51" s="85"/>
    </row>
    <row r="52" spans="2:14" x14ac:dyDescent="0.3">
      <c r="B52" s="53"/>
      <c r="F52" s="53"/>
      <c r="G52" s="53"/>
      <c r="N52" s="85"/>
    </row>
    <row r="53" spans="2:14" x14ac:dyDescent="0.3">
      <c r="B53" s="53"/>
      <c r="F53" s="53"/>
      <c r="G53" s="53"/>
    </row>
    <row r="54" spans="2:14" x14ac:dyDescent="0.3">
      <c r="B54" s="53"/>
      <c r="F54" s="53"/>
      <c r="G54" s="53"/>
    </row>
    <row r="55" spans="2:14" x14ac:dyDescent="0.3">
      <c r="B55" s="53"/>
      <c r="F55" s="53"/>
      <c r="G55" s="53"/>
    </row>
    <row r="56" spans="2:14" x14ac:dyDescent="0.3">
      <c r="B56" s="53"/>
      <c r="F56" s="53"/>
      <c r="G56" s="53"/>
    </row>
    <row r="57" spans="2:14" x14ac:dyDescent="0.3">
      <c r="B57" s="53"/>
      <c r="F57" s="53"/>
      <c r="G57" s="53"/>
    </row>
  </sheetData>
  <customSheetViews>
    <customSheetView guid="{90EF107A-B388-4A22-BC21-CA0EAB430C10}" showPageBreaks="1" printArea="1">
      <selection sqref="A1:R41"/>
      <pageMargins left="0.25" right="0.25" top="0.75" bottom="0.75" header="0.3" footer="0.3"/>
      <pageSetup paperSize="9" scale="70" fitToWidth="0" fitToHeight="0" orientation="landscape" r:id="rId1"/>
    </customSheetView>
    <customSheetView guid="{7BB2379F-5AA3-4CB5-8096-BED59F8EE78A}" showPageBreaks="1" printArea="1" view="pageBreakPreview">
      <selection activeCell="F6" sqref="F6"/>
      <pageMargins left="0.25" right="0.25" top="0.75" bottom="0.75" header="0.3" footer="0.3"/>
      <pageSetup paperSize="9" scale="70" fitToWidth="0" fitToHeight="0" orientation="landscape" r:id="rId2"/>
    </customSheetView>
  </customSheetViews>
  <mergeCells count="55">
    <mergeCell ref="I3:I39"/>
    <mergeCell ref="J7:J10"/>
    <mergeCell ref="P17:Q17"/>
    <mergeCell ref="O13:O18"/>
    <mergeCell ref="O10:O12"/>
    <mergeCell ref="O3:O5"/>
    <mergeCell ref="P15:Q15"/>
    <mergeCell ref="P16:Q16"/>
    <mergeCell ref="P12:Q12"/>
    <mergeCell ref="P13:Q13"/>
    <mergeCell ref="N3:N9"/>
    <mergeCell ref="J3:J6"/>
    <mergeCell ref="N10:N19"/>
    <mergeCell ref="J11:J38"/>
    <mergeCell ref="R29:R30"/>
    <mergeCell ref="P2:Q2"/>
    <mergeCell ref="Q24:R24"/>
    <mergeCell ref="P3:Q3"/>
    <mergeCell ref="P4:Q4"/>
    <mergeCell ref="P5:Q5"/>
    <mergeCell ref="P6:Q6"/>
    <mergeCell ref="P8:Q8"/>
    <mergeCell ref="P7:Q7"/>
    <mergeCell ref="P14:Q14"/>
    <mergeCell ref="P10:Q10"/>
    <mergeCell ref="R41:R42"/>
    <mergeCell ref="O9:Q9"/>
    <mergeCell ref="O19:Q19"/>
    <mergeCell ref="R39:R40"/>
    <mergeCell ref="R35:R36"/>
    <mergeCell ref="R37:R38"/>
    <mergeCell ref="N20:Q20"/>
    <mergeCell ref="N22:Q22"/>
    <mergeCell ref="Q32:R32"/>
    <mergeCell ref="R25:R26"/>
    <mergeCell ref="R27:R28"/>
    <mergeCell ref="N24:O24"/>
    <mergeCell ref="N21:Q21"/>
    <mergeCell ref="P11:Q11"/>
    <mergeCell ref="P18:Q18"/>
    <mergeCell ref="R33:R34"/>
    <mergeCell ref="C24:E25"/>
    <mergeCell ref="C3:E4"/>
    <mergeCell ref="C18:E18"/>
    <mergeCell ref="D6:E6"/>
    <mergeCell ref="C8:D8"/>
    <mergeCell ref="D9:E9"/>
    <mergeCell ref="D10:E10"/>
    <mergeCell ref="C19:E19"/>
    <mergeCell ref="D11:E11"/>
    <mergeCell ref="D12:E12"/>
    <mergeCell ref="D13:E13"/>
    <mergeCell ref="D14:E14"/>
    <mergeCell ref="D15:E15"/>
    <mergeCell ref="D16:E16"/>
  </mergeCells>
  <phoneticPr fontId="1" type="noConversion"/>
  <conditionalFormatting sqref="N22">
    <cfRule type="containsText" dxfId="15" priority="7" operator="containsText" text="차액">
      <formula>NOT(ISERROR(SEARCH("차액",N22)))</formula>
    </cfRule>
  </conditionalFormatting>
  <conditionalFormatting sqref="O9 N20">
    <cfRule type="containsText" dxfId="14" priority="9" operator="containsText" text="차액">
      <formula>NOT(ISERROR(SEARCH("차액",N9)))</formula>
    </cfRule>
  </conditionalFormatting>
  <conditionalFormatting sqref="R25 R27 R29">
    <cfRule type="containsText" dxfId="13" priority="11" operator="containsText" text="연심대상">
      <formula>NOT(ISERROR(SEARCH("연심대상",R25)))</formula>
    </cfRule>
    <cfRule type="containsText" dxfId="12" priority="12" operator="containsText" text="연심생략">
      <formula>NOT(ISERROR(SEARCH("연심생략",R25)))</formula>
    </cfRule>
  </conditionalFormatting>
  <conditionalFormatting sqref="R29">
    <cfRule type="containsText" dxfId="11" priority="8" operator="containsText" text="하향필요">
      <formula>NOT(ISERROR(SEARCH("하향필요",R29)))</formula>
    </cfRule>
  </conditionalFormatting>
  <conditionalFormatting sqref="R33 R35 R37 R43">
    <cfRule type="cellIs" dxfId="10" priority="20" operator="equal">
      <formula>"[부적합]"</formula>
    </cfRule>
    <cfRule type="cellIs" dxfId="9" priority="21" operator="equal">
      <formula>"[적합]"</formula>
    </cfRule>
  </conditionalFormatting>
  <conditionalFormatting sqref="R33 R35 R37">
    <cfRule type="cellIs" dxfId="8" priority="13" operator="equal">
      <formula>"[하향권장]"</formula>
    </cfRule>
  </conditionalFormatting>
  <conditionalFormatting sqref="R39">
    <cfRule type="cellIs" dxfId="7" priority="4" operator="equal">
      <formula>"[하향권장]"</formula>
    </cfRule>
    <cfRule type="cellIs" dxfId="6" priority="5" operator="equal">
      <formula>"[부적합]"</formula>
    </cfRule>
    <cfRule type="cellIs" dxfId="5" priority="6" operator="equal">
      <formula>"[적합]"</formula>
    </cfRule>
  </conditionalFormatting>
  <conditionalFormatting sqref="R41">
    <cfRule type="cellIs" dxfId="4" priority="1" operator="equal">
      <formula>"[하향권장]"</formula>
    </cfRule>
    <cfRule type="cellIs" dxfId="3" priority="2" operator="equal">
      <formula>"[부적합]"</formula>
    </cfRule>
    <cfRule type="cellIs" dxfId="2" priority="3" operator="equal">
      <formula>"[적합]"</formula>
    </cfRule>
  </conditionalFormatting>
  <dataValidations disablePrompts="1" count="1">
    <dataValidation type="list" allowBlank="1" showInputMessage="1" showErrorMessage="1" sqref="D6:E6" xr:uid="{00000000-0002-0000-0000-000000000000}">
      <formula1>목록_단위</formula1>
    </dataValidation>
  </dataValidations>
  <pageMargins left="0.25" right="0.25" top="0.75" bottom="0.75" header="0.3" footer="0.3"/>
  <pageSetup paperSize="9" scale="57" fitToWidth="0" fitToHeight="0" orientation="landscape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8C97-87BF-42D3-A83C-05C38C4DCF8E}">
  <dimension ref="A1:Q40"/>
  <sheetViews>
    <sheetView workbookViewId="0">
      <pane ySplit="1" topLeftCell="A2" activePane="bottomLeft" state="frozen"/>
      <selection pane="bottomLeft" activeCell="P32" sqref="P32"/>
    </sheetView>
  </sheetViews>
  <sheetFormatPr defaultRowHeight="16.5" x14ac:dyDescent="0.3"/>
  <cols>
    <col min="1" max="1" width="11" style="198" bestFit="1" customWidth="1"/>
    <col min="3" max="3" width="24.75" customWidth="1"/>
    <col min="4" max="4" width="27.75" style="200" customWidth="1"/>
    <col min="5" max="5" width="20.625" style="199" customWidth="1"/>
    <col min="6" max="6" width="21.5" style="199" customWidth="1"/>
    <col min="7" max="7" width="11" bestFit="1" customWidth="1"/>
    <col min="8" max="8" width="13.25" customWidth="1"/>
    <col min="9" max="9" width="17.625" style="200" customWidth="1"/>
  </cols>
  <sheetData>
    <row r="1" spans="1:17" x14ac:dyDescent="0.3">
      <c r="A1" s="201" t="s">
        <v>183</v>
      </c>
      <c r="B1" s="201" t="s">
        <v>189</v>
      </c>
      <c r="C1" s="201" t="s">
        <v>184</v>
      </c>
      <c r="D1" s="202" t="s">
        <v>194</v>
      </c>
      <c r="E1" s="203" t="s">
        <v>185</v>
      </c>
      <c r="F1" s="203" t="s">
        <v>186</v>
      </c>
      <c r="G1" s="201" t="s">
        <v>187</v>
      </c>
      <c r="H1" s="201" t="s">
        <v>188</v>
      </c>
      <c r="I1" s="202" t="s">
        <v>195</v>
      </c>
      <c r="K1" s="209"/>
      <c r="L1" s="209"/>
      <c r="M1" s="209"/>
      <c r="N1" s="209"/>
      <c r="O1" s="209"/>
      <c r="P1" s="209"/>
      <c r="Q1" s="209"/>
    </row>
    <row r="2" spans="1:17" x14ac:dyDescent="0.3">
      <c r="A2" s="204" t="s">
        <v>190</v>
      </c>
      <c r="B2" s="205"/>
      <c r="C2" s="205"/>
      <c r="D2" s="206">
        <v>5000000</v>
      </c>
      <c r="E2" s="207">
        <v>46023</v>
      </c>
      <c r="F2" s="207">
        <v>46387</v>
      </c>
      <c r="G2" s="205">
        <f>(YEAR(F2)-YEAR(E2))*12+MONTH(F2)-MONTH(E2)+1</f>
        <v>12</v>
      </c>
      <c r="H2" s="205">
        <v>0.5</v>
      </c>
      <c r="I2" s="208">
        <f>D2*G2*H2</f>
        <v>30000000</v>
      </c>
      <c r="K2" s="303" t="s">
        <v>196</v>
      </c>
      <c r="L2" s="304"/>
      <c r="M2" s="304"/>
      <c r="N2" s="304"/>
      <c r="O2" s="304"/>
      <c r="P2" s="304"/>
      <c r="Q2" s="304"/>
    </row>
    <row r="3" spans="1:17" x14ac:dyDescent="0.3">
      <c r="A3" s="204" t="s">
        <v>190</v>
      </c>
      <c r="B3" s="205"/>
      <c r="C3" s="205"/>
      <c r="D3" s="206"/>
      <c r="E3" s="207">
        <v>46023</v>
      </c>
      <c r="F3" s="207">
        <v>46387</v>
      </c>
      <c r="G3" s="205">
        <f t="shared" ref="G3:G39" si="0">(YEAR(F3)-YEAR(E3))*12+MONTH(F3)-MONTH(E3)+1</f>
        <v>12</v>
      </c>
      <c r="H3" s="205"/>
      <c r="I3" s="208">
        <f t="shared" ref="I3:I40" si="1">D3*G3*H3</f>
        <v>0</v>
      </c>
      <c r="K3" s="304"/>
      <c r="L3" s="304"/>
      <c r="M3" s="304"/>
      <c r="N3" s="304"/>
      <c r="O3" s="304"/>
      <c r="P3" s="304"/>
      <c r="Q3" s="304"/>
    </row>
    <row r="4" spans="1:17" x14ac:dyDescent="0.3">
      <c r="A4" s="204" t="s">
        <v>192</v>
      </c>
      <c r="B4" s="205"/>
      <c r="C4" s="205"/>
      <c r="D4" s="206"/>
      <c r="E4" s="207">
        <v>46023</v>
      </c>
      <c r="F4" s="207">
        <v>46387</v>
      </c>
      <c r="G4" s="205">
        <f t="shared" si="0"/>
        <v>12</v>
      </c>
      <c r="H4" s="205"/>
      <c r="I4" s="208">
        <f t="shared" si="1"/>
        <v>0</v>
      </c>
      <c r="K4" s="304"/>
      <c r="L4" s="304"/>
      <c r="M4" s="304"/>
      <c r="N4" s="304"/>
      <c r="O4" s="304"/>
      <c r="P4" s="304"/>
      <c r="Q4" s="304"/>
    </row>
    <row r="5" spans="1:17" x14ac:dyDescent="0.3">
      <c r="A5" s="204" t="s">
        <v>191</v>
      </c>
      <c r="B5" s="205"/>
      <c r="C5" s="205"/>
      <c r="D5" s="206"/>
      <c r="E5" s="207">
        <v>46023</v>
      </c>
      <c r="F5" s="207">
        <v>46387</v>
      </c>
      <c r="G5" s="205">
        <f t="shared" si="0"/>
        <v>12</v>
      </c>
      <c r="H5" s="205"/>
      <c r="I5" s="208">
        <f t="shared" si="1"/>
        <v>0</v>
      </c>
      <c r="K5" s="304"/>
      <c r="L5" s="304"/>
      <c r="M5" s="304"/>
      <c r="N5" s="304"/>
      <c r="O5" s="304"/>
      <c r="P5" s="304"/>
      <c r="Q5" s="304"/>
    </row>
    <row r="6" spans="1:17" x14ac:dyDescent="0.3">
      <c r="A6" s="204" t="s">
        <v>193</v>
      </c>
      <c r="B6" s="205"/>
      <c r="C6" s="205"/>
      <c r="D6" s="206"/>
      <c r="E6" s="207">
        <v>46023</v>
      </c>
      <c r="F6" s="207">
        <v>46387</v>
      </c>
      <c r="G6" s="205">
        <f t="shared" si="0"/>
        <v>12</v>
      </c>
      <c r="H6" s="205"/>
      <c r="I6" s="208">
        <f t="shared" si="1"/>
        <v>0</v>
      </c>
      <c r="K6" s="304"/>
      <c r="L6" s="304"/>
      <c r="M6" s="304"/>
      <c r="N6" s="304"/>
      <c r="O6" s="304"/>
      <c r="P6" s="304"/>
      <c r="Q6" s="304"/>
    </row>
    <row r="7" spans="1:17" x14ac:dyDescent="0.3">
      <c r="A7" s="204"/>
      <c r="B7" s="205"/>
      <c r="C7" s="205"/>
      <c r="D7" s="206"/>
      <c r="E7" s="207">
        <v>46023</v>
      </c>
      <c r="F7" s="207">
        <v>46387</v>
      </c>
      <c r="G7" s="205">
        <f t="shared" si="0"/>
        <v>12</v>
      </c>
      <c r="H7" s="205"/>
      <c r="I7" s="208">
        <f t="shared" si="1"/>
        <v>0</v>
      </c>
      <c r="K7" s="304"/>
      <c r="L7" s="304"/>
      <c r="M7" s="304"/>
      <c r="N7" s="304"/>
      <c r="O7" s="304"/>
      <c r="P7" s="304"/>
      <c r="Q7" s="304"/>
    </row>
    <row r="8" spans="1:17" x14ac:dyDescent="0.3">
      <c r="A8" s="204"/>
      <c r="B8" s="205"/>
      <c r="C8" s="205"/>
      <c r="D8" s="206"/>
      <c r="E8" s="207">
        <v>46023</v>
      </c>
      <c r="F8" s="207">
        <v>46387</v>
      </c>
      <c r="G8" s="205">
        <f t="shared" si="0"/>
        <v>12</v>
      </c>
      <c r="H8" s="205"/>
      <c r="I8" s="208">
        <f t="shared" si="1"/>
        <v>0</v>
      </c>
      <c r="K8" s="304"/>
      <c r="L8" s="304"/>
      <c r="M8" s="304"/>
      <c r="N8" s="304"/>
      <c r="O8" s="304"/>
      <c r="P8" s="304"/>
      <c r="Q8" s="304"/>
    </row>
    <row r="9" spans="1:17" x14ac:dyDescent="0.3">
      <c r="A9" s="204"/>
      <c r="B9" s="205"/>
      <c r="C9" s="205"/>
      <c r="D9" s="206"/>
      <c r="E9" s="207">
        <v>46023</v>
      </c>
      <c r="F9" s="207">
        <v>46387</v>
      </c>
      <c r="G9" s="205">
        <f t="shared" si="0"/>
        <v>12</v>
      </c>
      <c r="H9" s="205"/>
      <c r="I9" s="208">
        <f t="shared" si="1"/>
        <v>0</v>
      </c>
      <c r="K9" s="304"/>
      <c r="L9" s="304"/>
      <c r="M9" s="304"/>
      <c r="N9" s="304"/>
      <c r="O9" s="304"/>
      <c r="P9" s="304"/>
      <c r="Q9" s="304"/>
    </row>
    <row r="10" spans="1:17" x14ac:dyDescent="0.3">
      <c r="A10" s="204"/>
      <c r="B10" s="205"/>
      <c r="C10" s="205"/>
      <c r="D10" s="206"/>
      <c r="E10" s="207">
        <v>46023</v>
      </c>
      <c r="F10" s="207">
        <v>46387</v>
      </c>
      <c r="G10" s="205">
        <f t="shared" si="0"/>
        <v>12</v>
      </c>
      <c r="H10" s="205"/>
      <c r="I10" s="208">
        <f t="shared" si="1"/>
        <v>0</v>
      </c>
      <c r="K10" s="304"/>
      <c r="L10" s="304"/>
      <c r="M10" s="304"/>
      <c r="N10" s="304"/>
      <c r="O10" s="304"/>
      <c r="P10" s="304"/>
      <c r="Q10" s="304"/>
    </row>
    <row r="11" spans="1:17" x14ac:dyDescent="0.3">
      <c r="A11" s="204"/>
      <c r="B11" s="205"/>
      <c r="C11" s="205"/>
      <c r="D11" s="206"/>
      <c r="E11" s="207">
        <v>46023</v>
      </c>
      <c r="F11" s="207">
        <v>46387</v>
      </c>
      <c r="G11" s="205">
        <f t="shared" si="0"/>
        <v>12</v>
      </c>
      <c r="H11" s="205"/>
      <c r="I11" s="208">
        <f t="shared" si="1"/>
        <v>0</v>
      </c>
      <c r="K11" s="304"/>
      <c r="L11" s="304"/>
      <c r="M11" s="304"/>
      <c r="N11" s="304"/>
      <c r="O11" s="304"/>
      <c r="P11" s="304"/>
      <c r="Q11" s="304"/>
    </row>
    <row r="12" spans="1:17" x14ac:dyDescent="0.3">
      <c r="A12" s="204"/>
      <c r="B12" s="205"/>
      <c r="C12" s="205"/>
      <c r="D12" s="206"/>
      <c r="E12" s="207">
        <v>46023</v>
      </c>
      <c r="F12" s="207">
        <v>46387</v>
      </c>
      <c r="G12" s="205">
        <f t="shared" si="0"/>
        <v>12</v>
      </c>
      <c r="H12" s="205"/>
      <c r="I12" s="208">
        <f t="shared" si="1"/>
        <v>0</v>
      </c>
      <c r="K12" s="304"/>
      <c r="L12" s="304"/>
      <c r="M12" s="304"/>
      <c r="N12" s="304"/>
      <c r="O12" s="304"/>
      <c r="P12" s="304"/>
      <c r="Q12" s="304"/>
    </row>
    <row r="13" spans="1:17" x14ac:dyDescent="0.3">
      <c r="A13" s="204"/>
      <c r="B13" s="205"/>
      <c r="C13" s="205"/>
      <c r="D13" s="206"/>
      <c r="E13" s="207">
        <v>46023</v>
      </c>
      <c r="F13" s="207">
        <v>46387</v>
      </c>
      <c r="G13" s="205">
        <f t="shared" si="0"/>
        <v>12</v>
      </c>
      <c r="H13" s="205"/>
      <c r="I13" s="208">
        <f t="shared" si="1"/>
        <v>0</v>
      </c>
      <c r="K13" s="304"/>
      <c r="L13" s="304"/>
      <c r="M13" s="304"/>
      <c r="N13" s="304"/>
      <c r="O13" s="304"/>
      <c r="P13" s="304"/>
      <c r="Q13" s="304"/>
    </row>
    <row r="14" spans="1:17" x14ac:dyDescent="0.3">
      <c r="A14" s="204"/>
      <c r="B14" s="205"/>
      <c r="C14" s="205"/>
      <c r="D14" s="206"/>
      <c r="E14" s="207">
        <v>46023</v>
      </c>
      <c r="F14" s="207">
        <v>46387</v>
      </c>
      <c r="G14" s="205">
        <f t="shared" si="0"/>
        <v>12</v>
      </c>
      <c r="H14" s="205"/>
      <c r="I14" s="208">
        <f t="shared" si="1"/>
        <v>0</v>
      </c>
    </row>
    <row r="15" spans="1:17" x14ac:dyDescent="0.3">
      <c r="A15" s="204"/>
      <c r="B15" s="205"/>
      <c r="C15" s="205"/>
      <c r="D15" s="206"/>
      <c r="E15" s="207">
        <v>46023</v>
      </c>
      <c r="F15" s="207">
        <v>46387</v>
      </c>
      <c r="G15" s="205">
        <f t="shared" si="0"/>
        <v>12</v>
      </c>
      <c r="H15" s="205"/>
      <c r="I15" s="208">
        <f t="shared" si="1"/>
        <v>0</v>
      </c>
    </row>
    <row r="16" spans="1:17" x14ac:dyDescent="0.3">
      <c r="A16" s="204"/>
      <c r="B16" s="205"/>
      <c r="C16" s="205"/>
      <c r="D16" s="206"/>
      <c r="E16" s="207">
        <v>46023</v>
      </c>
      <c r="F16" s="207">
        <v>46387</v>
      </c>
      <c r="G16" s="205">
        <f t="shared" si="0"/>
        <v>12</v>
      </c>
      <c r="H16" s="205"/>
      <c r="I16" s="208">
        <f t="shared" si="1"/>
        <v>0</v>
      </c>
    </row>
    <row r="17" spans="1:9" x14ac:dyDescent="0.3">
      <c r="A17" s="204"/>
      <c r="B17" s="205"/>
      <c r="C17" s="205"/>
      <c r="D17" s="206"/>
      <c r="E17" s="207">
        <v>46023</v>
      </c>
      <c r="F17" s="207">
        <v>46387</v>
      </c>
      <c r="G17" s="205">
        <f t="shared" si="0"/>
        <v>12</v>
      </c>
      <c r="H17" s="205"/>
      <c r="I17" s="208">
        <f t="shared" si="1"/>
        <v>0</v>
      </c>
    </row>
    <row r="18" spans="1:9" x14ac:dyDescent="0.3">
      <c r="A18" s="204"/>
      <c r="B18" s="205"/>
      <c r="C18" s="205"/>
      <c r="D18" s="206"/>
      <c r="E18" s="207">
        <v>46023</v>
      </c>
      <c r="F18" s="207">
        <v>46387</v>
      </c>
      <c r="G18" s="205">
        <f t="shared" si="0"/>
        <v>12</v>
      </c>
      <c r="H18" s="205"/>
      <c r="I18" s="208">
        <f t="shared" si="1"/>
        <v>0</v>
      </c>
    </row>
    <row r="19" spans="1:9" x14ac:dyDescent="0.3">
      <c r="A19" s="204"/>
      <c r="B19" s="205"/>
      <c r="C19" s="205"/>
      <c r="D19" s="206"/>
      <c r="E19" s="207">
        <v>46023</v>
      </c>
      <c r="F19" s="207">
        <v>46387</v>
      </c>
      <c r="G19" s="205">
        <f t="shared" si="0"/>
        <v>12</v>
      </c>
      <c r="H19" s="205"/>
      <c r="I19" s="208">
        <f t="shared" si="1"/>
        <v>0</v>
      </c>
    </row>
    <row r="20" spans="1:9" x14ac:dyDescent="0.3">
      <c r="A20" s="204"/>
      <c r="B20" s="205"/>
      <c r="C20" s="205"/>
      <c r="D20" s="206"/>
      <c r="E20" s="207">
        <v>46023</v>
      </c>
      <c r="F20" s="207">
        <v>46387</v>
      </c>
      <c r="G20" s="205">
        <f t="shared" si="0"/>
        <v>12</v>
      </c>
      <c r="H20" s="205"/>
      <c r="I20" s="208">
        <f t="shared" si="1"/>
        <v>0</v>
      </c>
    </row>
    <row r="21" spans="1:9" x14ac:dyDescent="0.3">
      <c r="A21" s="204"/>
      <c r="B21" s="205"/>
      <c r="C21" s="205"/>
      <c r="D21" s="206"/>
      <c r="E21" s="207">
        <v>46023</v>
      </c>
      <c r="F21" s="207">
        <v>46387</v>
      </c>
      <c r="G21" s="205">
        <f t="shared" si="0"/>
        <v>12</v>
      </c>
      <c r="H21" s="205"/>
      <c r="I21" s="208">
        <f t="shared" si="1"/>
        <v>0</v>
      </c>
    </row>
    <row r="22" spans="1:9" x14ac:dyDescent="0.3">
      <c r="A22" s="204"/>
      <c r="B22" s="205"/>
      <c r="C22" s="205"/>
      <c r="D22" s="206"/>
      <c r="E22" s="207">
        <v>46023</v>
      </c>
      <c r="F22" s="207">
        <v>46387</v>
      </c>
      <c r="G22" s="205">
        <f t="shared" si="0"/>
        <v>12</v>
      </c>
      <c r="H22" s="205"/>
      <c r="I22" s="208">
        <f t="shared" si="1"/>
        <v>0</v>
      </c>
    </row>
    <row r="23" spans="1:9" x14ac:dyDescent="0.3">
      <c r="A23" s="204"/>
      <c r="B23" s="205"/>
      <c r="C23" s="205"/>
      <c r="D23" s="206"/>
      <c r="E23" s="207">
        <v>46023</v>
      </c>
      <c r="F23" s="207">
        <v>46387</v>
      </c>
      <c r="G23" s="205">
        <f t="shared" si="0"/>
        <v>12</v>
      </c>
      <c r="H23" s="205"/>
      <c r="I23" s="208">
        <f t="shared" si="1"/>
        <v>0</v>
      </c>
    </row>
    <row r="24" spans="1:9" x14ac:dyDescent="0.3">
      <c r="A24" s="204"/>
      <c r="B24" s="205"/>
      <c r="C24" s="205"/>
      <c r="D24" s="206"/>
      <c r="E24" s="207">
        <v>46023</v>
      </c>
      <c r="F24" s="207">
        <v>46387</v>
      </c>
      <c r="G24" s="205">
        <f t="shared" si="0"/>
        <v>12</v>
      </c>
      <c r="H24" s="205"/>
      <c r="I24" s="208">
        <f t="shared" si="1"/>
        <v>0</v>
      </c>
    </row>
    <row r="25" spans="1:9" x14ac:dyDescent="0.3">
      <c r="A25" s="204"/>
      <c r="B25" s="205"/>
      <c r="C25" s="205"/>
      <c r="D25" s="206"/>
      <c r="E25" s="207">
        <v>46023</v>
      </c>
      <c r="F25" s="207">
        <v>46387</v>
      </c>
      <c r="G25" s="205">
        <f t="shared" si="0"/>
        <v>12</v>
      </c>
      <c r="H25" s="205"/>
      <c r="I25" s="208">
        <f t="shared" si="1"/>
        <v>0</v>
      </c>
    </row>
    <row r="26" spans="1:9" x14ac:dyDescent="0.3">
      <c r="A26" s="204"/>
      <c r="B26" s="205"/>
      <c r="C26" s="205"/>
      <c r="D26" s="206"/>
      <c r="E26" s="207">
        <v>46023</v>
      </c>
      <c r="F26" s="207">
        <v>46387</v>
      </c>
      <c r="G26" s="205">
        <f t="shared" si="0"/>
        <v>12</v>
      </c>
      <c r="H26" s="205"/>
      <c r="I26" s="208">
        <f t="shared" si="1"/>
        <v>0</v>
      </c>
    </row>
    <row r="27" spans="1:9" x14ac:dyDescent="0.3">
      <c r="A27" s="204"/>
      <c r="B27" s="205"/>
      <c r="C27" s="205"/>
      <c r="D27" s="206"/>
      <c r="E27" s="207">
        <v>46023</v>
      </c>
      <c r="F27" s="207">
        <v>46387</v>
      </c>
      <c r="G27" s="205">
        <f t="shared" si="0"/>
        <v>12</v>
      </c>
      <c r="H27" s="205"/>
      <c r="I27" s="208">
        <f t="shared" si="1"/>
        <v>0</v>
      </c>
    </row>
    <row r="28" spans="1:9" x14ac:dyDescent="0.3">
      <c r="A28" s="204"/>
      <c r="B28" s="205"/>
      <c r="C28" s="205"/>
      <c r="D28" s="206"/>
      <c r="E28" s="207">
        <v>46023</v>
      </c>
      <c r="F28" s="207">
        <v>46387</v>
      </c>
      <c r="G28" s="205">
        <f t="shared" si="0"/>
        <v>12</v>
      </c>
      <c r="H28" s="205"/>
      <c r="I28" s="208">
        <f t="shared" si="1"/>
        <v>0</v>
      </c>
    </row>
    <row r="29" spans="1:9" x14ac:dyDescent="0.3">
      <c r="A29" s="204"/>
      <c r="B29" s="205"/>
      <c r="C29" s="205"/>
      <c r="D29" s="206"/>
      <c r="E29" s="207">
        <v>46023</v>
      </c>
      <c r="F29" s="207">
        <v>46387</v>
      </c>
      <c r="G29" s="205">
        <f t="shared" si="0"/>
        <v>12</v>
      </c>
      <c r="H29" s="205"/>
      <c r="I29" s="208">
        <f t="shared" si="1"/>
        <v>0</v>
      </c>
    </row>
    <row r="30" spans="1:9" x14ac:dyDescent="0.3">
      <c r="A30" s="204"/>
      <c r="B30" s="205"/>
      <c r="C30" s="205"/>
      <c r="D30" s="206"/>
      <c r="E30" s="207">
        <v>46023</v>
      </c>
      <c r="F30" s="207">
        <v>46387</v>
      </c>
      <c r="G30" s="205">
        <f t="shared" si="0"/>
        <v>12</v>
      </c>
      <c r="H30" s="205"/>
      <c r="I30" s="208">
        <f t="shared" si="1"/>
        <v>0</v>
      </c>
    </row>
    <row r="31" spans="1:9" x14ac:dyDescent="0.3">
      <c r="A31" s="204"/>
      <c r="B31" s="205"/>
      <c r="C31" s="205"/>
      <c r="D31" s="206"/>
      <c r="E31" s="207">
        <v>46023</v>
      </c>
      <c r="F31" s="207">
        <v>46387</v>
      </c>
      <c r="G31" s="205">
        <f t="shared" si="0"/>
        <v>12</v>
      </c>
      <c r="H31" s="205"/>
      <c r="I31" s="208">
        <f t="shared" si="1"/>
        <v>0</v>
      </c>
    </row>
    <row r="32" spans="1:9" x14ac:dyDescent="0.3">
      <c r="A32" s="204"/>
      <c r="B32" s="205"/>
      <c r="C32" s="205"/>
      <c r="D32" s="206"/>
      <c r="E32" s="207">
        <v>46023</v>
      </c>
      <c r="F32" s="207">
        <v>46387</v>
      </c>
      <c r="G32" s="205">
        <f t="shared" si="0"/>
        <v>12</v>
      </c>
      <c r="H32" s="205"/>
      <c r="I32" s="208">
        <f t="shared" si="1"/>
        <v>0</v>
      </c>
    </row>
    <row r="33" spans="1:9" x14ac:dyDescent="0.3">
      <c r="A33" s="204"/>
      <c r="B33" s="205"/>
      <c r="C33" s="205"/>
      <c r="D33" s="206"/>
      <c r="E33" s="207">
        <v>46023</v>
      </c>
      <c r="F33" s="207">
        <v>46387</v>
      </c>
      <c r="G33" s="205">
        <f t="shared" si="0"/>
        <v>12</v>
      </c>
      <c r="H33" s="205"/>
      <c r="I33" s="208">
        <f t="shared" si="1"/>
        <v>0</v>
      </c>
    </row>
    <row r="34" spans="1:9" x14ac:dyDescent="0.3">
      <c r="A34" s="204"/>
      <c r="B34" s="205"/>
      <c r="C34" s="205"/>
      <c r="D34" s="206"/>
      <c r="E34" s="207">
        <v>46023</v>
      </c>
      <c r="F34" s="207">
        <v>46387</v>
      </c>
      <c r="G34" s="205">
        <f t="shared" si="0"/>
        <v>12</v>
      </c>
      <c r="H34" s="205"/>
      <c r="I34" s="208">
        <f t="shared" si="1"/>
        <v>0</v>
      </c>
    </row>
    <row r="35" spans="1:9" x14ac:dyDescent="0.3">
      <c r="A35" s="204"/>
      <c r="B35" s="205"/>
      <c r="C35" s="205"/>
      <c r="D35" s="206"/>
      <c r="E35" s="207">
        <v>46023</v>
      </c>
      <c r="F35" s="207">
        <v>46387</v>
      </c>
      <c r="G35" s="205">
        <f t="shared" si="0"/>
        <v>12</v>
      </c>
      <c r="H35" s="205"/>
      <c r="I35" s="208">
        <f t="shared" si="1"/>
        <v>0</v>
      </c>
    </row>
    <row r="36" spans="1:9" x14ac:dyDescent="0.3">
      <c r="A36" s="204"/>
      <c r="B36" s="205"/>
      <c r="C36" s="205"/>
      <c r="D36" s="206"/>
      <c r="E36" s="207">
        <v>46023</v>
      </c>
      <c r="F36" s="207">
        <v>46387</v>
      </c>
      <c r="G36" s="205">
        <f t="shared" si="0"/>
        <v>12</v>
      </c>
      <c r="H36" s="205"/>
      <c r="I36" s="208">
        <f t="shared" si="1"/>
        <v>0</v>
      </c>
    </row>
    <row r="37" spans="1:9" x14ac:dyDescent="0.3">
      <c r="A37" s="204"/>
      <c r="B37" s="205"/>
      <c r="C37" s="205"/>
      <c r="D37" s="206"/>
      <c r="E37" s="207">
        <v>46023</v>
      </c>
      <c r="F37" s="207">
        <v>46387</v>
      </c>
      <c r="G37" s="205">
        <f t="shared" si="0"/>
        <v>12</v>
      </c>
      <c r="H37" s="205"/>
      <c r="I37" s="208">
        <f t="shared" si="1"/>
        <v>0</v>
      </c>
    </row>
    <row r="38" spans="1:9" x14ac:dyDescent="0.3">
      <c r="A38" s="204"/>
      <c r="B38" s="205"/>
      <c r="C38" s="205"/>
      <c r="D38" s="206"/>
      <c r="E38" s="207">
        <v>46023</v>
      </c>
      <c r="F38" s="207">
        <v>46387</v>
      </c>
      <c r="G38" s="205">
        <f t="shared" si="0"/>
        <v>12</v>
      </c>
      <c r="H38" s="205"/>
      <c r="I38" s="208">
        <f t="shared" si="1"/>
        <v>0</v>
      </c>
    </row>
    <row r="39" spans="1:9" x14ac:dyDescent="0.3">
      <c r="A39" s="204"/>
      <c r="B39" s="205"/>
      <c r="C39" s="205"/>
      <c r="D39" s="206"/>
      <c r="E39" s="207">
        <v>46023</v>
      </c>
      <c r="F39" s="207">
        <v>46387</v>
      </c>
      <c r="G39" s="205">
        <f t="shared" si="0"/>
        <v>12</v>
      </c>
      <c r="H39" s="205"/>
      <c r="I39" s="208">
        <f t="shared" si="1"/>
        <v>0</v>
      </c>
    </row>
    <row r="40" spans="1:9" x14ac:dyDescent="0.3">
      <c r="I40" s="200">
        <f t="shared" si="1"/>
        <v>0</v>
      </c>
    </row>
  </sheetData>
  <dataConsolidate/>
  <mergeCells count="1">
    <mergeCell ref="K2:Q13"/>
  </mergeCells>
  <phoneticPr fontId="1" type="noConversion"/>
  <dataValidations count="1">
    <dataValidation type="list" allowBlank="1" showInputMessage="1" showErrorMessage="1" sqref="A2:A56" xr:uid="{398B7B9A-ECF1-426A-822E-C9D2E90406C6}">
      <formula1>"내부인건비, 외부인건비, 학생인건비, 미지급인건비"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view="pageBreakPreview" zoomScaleNormal="100" zoomScaleSheetLayoutView="100" workbookViewId="0">
      <selection activeCell="A25" sqref="A25"/>
    </sheetView>
  </sheetViews>
  <sheetFormatPr defaultColWidth="9" defaultRowHeight="20.100000000000001" customHeight="1" x14ac:dyDescent="0.3"/>
  <cols>
    <col min="1" max="1" width="4.875" style="7" customWidth="1"/>
    <col min="2" max="2" width="8.5" style="7" customWidth="1"/>
    <col min="3" max="3" width="8.875" style="7" customWidth="1"/>
    <col min="4" max="4" width="12.5" style="7" bestFit="1" customWidth="1"/>
    <col min="5" max="5" width="18.125" style="7" customWidth="1"/>
    <col min="6" max="6" width="4.375" style="7" customWidth="1"/>
    <col min="7" max="7" width="35.625" style="7" customWidth="1"/>
    <col min="8" max="8" width="10.125" style="21" customWidth="1"/>
    <col min="9" max="9" width="14.875" style="7" customWidth="1"/>
    <col min="10" max="10" width="14.625" style="7" customWidth="1"/>
    <col min="11" max="11" width="4" style="7" customWidth="1"/>
    <col min="12" max="16384" width="9" style="7"/>
  </cols>
  <sheetData>
    <row r="1" spans="1:11" ht="12" customHeight="1" thickBot="1" x14ac:dyDescent="0.35">
      <c r="A1" s="5"/>
      <c r="B1" s="5"/>
      <c r="C1" s="5"/>
      <c r="D1" s="5"/>
      <c r="E1" s="5"/>
      <c r="F1" s="5"/>
      <c r="G1" s="5"/>
      <c r="H1" s="6"/>
      <c r="I1" s="5"/>
      <c r="J1" s="5"/>
      <c r="K1" s="5"/>
    </row>
    <row r="2" spans="1:11" ht="51.75" customHeight="1" thickBot="1" x14ac:dyDescent="0.35">
      <c r="A2" s="5"/>
      <c r="B2" s="312" t="s">
        <v>122</v>
      </c>
      <c r="C2" s="313"/>
      <c r="D2" s="313"/>
      <c r="E2" s="313"/>
      <c r="F2" s="313"/>
      <c r="G2" s="313"/>
      <c r="H2" s="313"/>
      <c r="I2" s="313"/>
      <c r="J2" s="314"/>
      <c r="K2" s="5"/>
    </row>
    <row r="3" spans="1:11" ht="20.100000000000001" customHeight="1" thickBot="1" x14ac:dyDescent="0.35">
      <c r="A3" s="5"/>
      <c r="B3" s="5"/>
      <c r="C3" s="5"/>
      <c r="D3" s="5"/>
      <c r="E3" s="5"/>
      <c r="F3" s="5"/>
      <c r="G3" s="5"/>
      <c r="H3" s="6"/>
      <c r="I3" s="5"/>
      <c r="J3" s="5"/>
      <c r="K3" s="5"/>
    </row>
    <row r="4" spans="1:11" ht="20.100000000000001" customHeight="1" x14ac:dyDescent="0.3">
      <c r="A4" s="5"/>
      <c r="B4" s="329" t="s">
        <v>82</v>
      </c>
      <c r="C4" s="330"/>
      <c r="D4" s="320"/>
      <c r="E4" s="321"/>
      <c r="F4" s="321"/>
      <c r="G4" s="321"/>
      <c r="H4" s="321"/>
      <c r="I4" s="321"/>
      <c r="J4" s="322"/>
      <c r="K4" s="5"/>
    </row>
    <row r="5" spans="1:11" ht="20.100000000000001" customHeight="1" x14ac:dyDescent="0.3">
      <c r="A5" s="5"/>
      <c r="B5" s="331" t="s">
        <v>86</v>
      </c>
      <c r="C5" s="332"/>
      <c r="D5" s="323"/>
      <c r="E5" s="324"/>
      <c r="F5" s="324"/>
      <c r="G5" s="324"/>
      <c r="H5" s="324"/>
      <c r="I5" s="324"/>
      <c r="J5" s="325"/>
      <c r="K5" s="5"/>
    </row>
    <row r="6" spans="1:11" ht="20.100000000000001" customHeight="1" x14ac:dyDescent="0.3">
      <c r="A6" s="5"/>
      <c r="B6" s="331" t="s">
        <v>85</v>
      </c>
      <c r="C6" s="332"/>
      <c r="D6" s="323"/>
      <c r="E6" s="324"/>
      <c r="F6" s="324"/>
      <c r="G6" s="324"/>
      <c r="H6" s="324"/>
      <c r="I6" s="324"/>
      <c r="J6" s="325"/>
      <c r="K6" s="5"/>
    </row>
    <row r="7" spans="1:11" ht="20.100000000000001" customHeight="1" x14ac:dyDescent="0.3">
      <c r="A7" s="5"/>
      <c r="B7" s="331" t="s">
        <v>83</v>
      </c>
      <c r="C7" s="332"/>
      <c r="D7" s="323" t="s">
        <v>181</v>
      </c>
      <c r="E7" s="324"/>
      <c r="F7" s="324"/>
      <c r="G7" s="324"/>
      <c r="H7" s="324"/>
      <c r="I7" s="324"/>
      <c r="J7" s="325"/>
      <c r="K7" s="5"/>
    </row>
    <row r="8" spans="1:11" ht="20.100000000000001" customHeight="1" thickBot="1" x14ac:dyDescent="0.35">
      <c r="A8" s="5"/>
      <c r="B8" s="333" t="s">
        <v>84</v>
      </c>
      <c r="C8" s="334"/>
      <c r="D8" s="326" t="s">
        <v>180</v>
      </c>
      <c r="E8" s="327"/>
      <c r="F8" s="327"/>
      <c r="G8" s="327"/>
      <c r="H8" s="327"/>
      <c r="I8" s="327"/>
      <c r="J8" s="328"/>
      <c r="K8" s="5"/>
    </row>
    <row r="9" spans="1:11" ht="20.100000000000001" customHeight="1" thickBot="1" x14ac:dyDescent="0.35">
      <c r="A9" s="5"/>
      <c r="B9" s="5"/>
      <c r="C9" s="5"/>
      <c r="D9" s="5"/>
      <c r="E9" s="5"/>
      <c r="F9" s="5"/>
      <c r="G9" s="5"/>
      <c r="H9" s="6"/>
      <c r="I9" s="5"/>
      <c r="J9" s="5"/>
      <c r="K9" s="5"/>
    </row>
    <row r="10" spans="1:11" ht="20.100000000000001" customHeight="1" thickBot="1" x14ac:dyDescent="0.35">
      <c r="A10" s="5"/>
      <c r="B10" s="22" t="s">
        <v>80</v>
      </c>
      <c r="C10" s="23" t="s">
        <v>81</v>
      </c>
      <c r="D10" s="23" t="s">
        <v>89</v>
      </c>
      <c r="E10" s="24" t="str">
        <f>"예산("&amp;'연구비계상(과제책임자용)'!D6&amp;")"</f>
        <v>예산(천원)</v>
      </c>
      <c r="F10" s="5"/>
      <c r="G10" s="315" t="s">
        <v>113</v>
      </c>
      <c r="H10" s="316"/>
      <c r="I10" s="316"/>
      <c r="J10" s="317"/>
      <c r="K10" s="5"/>
    </row>
    <row r="11" spans="1:11" ht="20.100000000000001" customHeight="1" thickBot="1" x14ac:dyDescent="0.35">
      <c r="A11" s="5"/>
      <c r="B11" s="306" t="s">
        <v>87</v>
      </c>
      <c r="C11" s="307" t="s">
        <v>88</v>
      </c>
      <c r="D11" s="8" t="s">
        <v>90</v>
      </c>
      <c r="E11" s="9">
        <f>'연구비계상(과제책임자용)'!L3</f>
        <v>30000000</v>
      </c>
      <c r="F11" s="5"/>
      <c r="G11" s="3" t="s">
        <v>118</v>
      </c>
      <c r="H11" s="4" t="s">
        <v>114</v>
      </c>
      <c r="I11" s="318" t="s">
        <v>115</v>
      </c>
      <c r="J11" s="319"/>
      <c r="K11" s="5"/>
    </row>
    <row r="12" spans="1:11" ht="20.100000000000001" customHeight="1" thickTop="1" x14ac:dyDescent="0.3">
      <c r="A12" s="5"/>
      <c r="B12" s="306"/>
      <c r="C12" s="307"/>
      <c r="D12" s="8" t="s">
        <v>91</v>
      </c>
      <c r="E12" s="9">
        <f>SUM('연구비계상(과제책임자용)'!L4:L5)</f>
        <v>0</v>
      </c>
      <c r="F12" s="5"/>
      <c r="G12" s="10" t="s">
        <v>112</v>
      </c>
      <c r="H12" s="11" t="str">
        <f>IF('연구비계상(과제책임자용)'!D9&lt;1000000,"적정","부적정")</f>
        <v>적정</v>
      </c>
      <c r="I12" s="12" t="s">
        <v>116</v>
      </c>
      <c r="J12" s="27">
        <f>'연구비계상(과제책임자용)'!D9</f>
        <v>0</v>
      </c>
      <c r="K12" s="5"/>
    </row>
    <row r="13" spans="1:11" ht="20.100000000000001" customHeight="1" x14ac:dyDescent="0.3">
      <c r="A13" s="5"/>
      <c r="B13" s="306"/>
      <c r="C13" s="307"/>
      <c r="D13" s="8" t="s">
        <v>92</v>
      </c>
      <c r="E13" s="9">
        <f>'연구비계상(과제책임자용)'!L6</f>
        <v>0</v>
      </c>
      <c r="F13" s="5"/>
      <c r="G13" s="13" t="s">
        <v>179</v>
      </c>
      <c r="H13" s="8" t="str">
        <f>IF(AND('연구비계상(과제책임자용)'!D11-0.005&lt;='연구비계상(과제책임자용)'!Q30,'연구비계상(과제책임자용)'!Q30&lt;='연구비계상(과제책임자용)'!D11),"적정","부적정")</f>
        <v>부적정</v>
      </c>
      <c r="I13" s="14" t="s">
        <v>106</v>
      </c>
      <c r="J13" s="15">
        <f>'연구비계상(과제책임자용)'!Q30</f>
        <v>0</v>
      </c>
      <c r="K13" s="5"/>
    </row>
    <row r="14" spans="1:11" ht="20.100000000000001" customHeight="1" thickBot="1" x14ac:dyDescent="0.35">
      <c r="A14" s="5"/>
      <c r="B14" s="306"/>
      <c r="C14" s="307" t="s">
        <v>93</v>
      </c>
      <c r="D14" s="307"/>
      <c r="E14" s="9">
        <f>SUM('연구비계상(과제책임자용)'!L7:L10)</f>
        <v>0</v>
      </c>
      <c r="F14" s="5"/>
      <c r="G14" s="16" t="s">
        <v>107</v>
      </c>
      <c r="H14" s="17" t="str">
        <f>IF('연구비계상(과제책임자용)'!Q28&gt;=40%,"적정","부적정")</f>
        <v>적정</v>
      </c>
      <c r="I14" s="18" t="s">
        <v>117</v>
      </c>
      <c r="J14" s="19">
        <f>'연구비계상(과제책임자용)'!Q28</f>
        <v>1</v>
      </c>
      <c r="K14" s="5"/>
    </row>
    <row r="15" spans="1:11" ht="20.100000000000001" customHeight="1" thickBot="1" x14ac:dyDescent="0.35">
      <c r="A15" s="5"/>
      <c r="B15" s="306"/>
      <c r="C15" s="307" t="s">
        <v>94</v>
      </c>
      <c r="D15" s="307"/>
      <c r="E15" s="9">
        <f>SUM('연구비계상(과제책임자용)'!L11:L40)</f>
        <v>0</v>
      </c>
      <c r="F15" s="5"/>
      <c r="G15" s="5"/>
      <c r="H15" s="5"/>
      <c r="I15" s="5"/>
      <c r="J15" s="5"/>
      <c r="K15" s="5"/>
    </row>
    <row r="16" spans="1:11" ht="20.100000000000001" customHeight="1" thickBot="1" x14ac:dyDescent="0.35">
      <c r="A16" s="5"/>
      <c r="B16" s="306"/>
      <c r="C16" s="307" t="s">
        <v>95</v>
      </c>
      <c r="D16" s="307"/>
      <c r="E16" s="9">
        <f>SUM('연구비계상(과제책임자용)'!R3:R5)</f>
        <v>0</v>
      </c>
      <c r="F16" s="5"/>
      <c r="G16" s="315" t="s">
        <v>109</v>
      </c>
      <c r="H16" s="316"/>
      <c r="I16" s="316"/>
      <c r="J16" s="317"/>
      <c r="K16" s="5"/>
    </row>
    <row r="17" spans="1:11" ht="20.100000000000001" customHeight="1" thickBot="1" x14ac:dyDescent="0.35">
      <c r="A17" s="5"/>
      <c r="B17" s="306"/>
      <c r="C17" s="307" t="s">
        <v>96</v>
      </c>
      <c r="D17" s="307"/>
      <c r="E17" s="9">
        <f>'연구비계상(과제책임자용)'!R6</f>
        <v>0</v>
      </c>
      <c r="F17" s="5"/>
      <c r="G17" s="3" t="s">
        <v>118</v>
      </c>
      <c r="H17" s="4" t="s">
        <v>114</v>
      </c>
      <c r="I17" s="318" t="s">
        <v>115</v>
      </c>
      <c r="J17" s="319"/>
      <c r="K17" s="5"/>
    </row>
    <row r="18" spans="1:11" ht="20.100000000000001" customHeight="1" thickTop="1" x14ac:dyDescent="0.3">
      <c r="A18" s="5"/>
      <c r="B18" s="306"/>
      <c r="C18" s="307" t="s">
        <v>97</v>
      </c>
      <c r="D18" s="307"/>
      <c r="E18" s="9">
        <f>'연구비계상(과제책임자용)'!R8</f>
        <v>0</v>
      </c>
      <c r="F18" s="5"/>
      <c r="G18" s="10" t="s">
        <v>111</v>
      </c>
      <c r="H18" s="11" t="str">
        <f>IF(J18&lt;=20,"적정","부적정")</f>
        <v>적정</v>
      </c>
      <c r="I18" s="12" t="s">
        <v>119</v>
      </c>
      <c r="J18" s="20">
        <f>'연구비계상(과제책임자용)'!Q34</f>
        <v>0</v>
      </c>
      <c r="K18" s="5"/>
    </row>
    <row r="19" spans="1:11" ht="20.100000000000001" customHeight="1" x14ac:dyDescent="0.3">
      <c r="A19" s="5"/>
      <c r="B19" s="306"/>
      <c r="C19" s="305" t="s">
        <v>102</v>
      </c>
      <c r="D19" s="305"/>
      <c r="E19" s="25">
        <f>SUM(E11:E18)</f>
        <v>30000000</v>
      </c>
      <c r="F19" s="5"/>
      <c r="G19" s="13" t="s">
        <v>108</v>
      </c>
      <c r="H19" s="8" t="str">
        <f>IF(J19&lt;=40%,"적정","부적정")</f>
        <v>적정</v>
      </c>
      <c r="I19" s="14" t="s">
        <v>120</v>
      </c>
      <c r="J19" s="15">
        <f>'연구비계상(과제책임자용)'!Q38</f>
        <v>0</v>
      </c>
      <c r="K19" s="5"/>
    </row>
    <row r="20" spans="1:11" ht="20.100000000000001" customHeight="1" thickBot="1" x14ac:dyDescent="0.35">
      <c r="A20" s="5"/>
      <c r="B20" s="306" t="s">
        <v>98</v>
      </c>
      <c r="C20" s="310" t="s">
        <v>99</v>
      </c>
      <c r="D20" s="311"/>
      <c r="E20" s="9">
        <f>'연구비계상(과제책임자용)'!R14</f>
        <v>-300000</v>
      </c>
      <c r="F20" s="5"/>
      <c r="G20" s="16" t="s">
        <v>110</v>
      </c>
      <c r="H20" s="17" t="str">
        <f>IF(AND(J20&lt;=2%,J20&gt;=1%),"적정","부적정")</f>
        <v>적정</v>
      </c>
      <c r="I20" s="18" t="s">
        <v>121</v>
      </c>
      <c r="J20" s="19">
        <f>'연구비계상(과제책임자용)'!Q36</f>
        <v>0.01</v>
      </c>
      <c r="K20" s="5"/>
    </row>
    <row r="21" spans="1:11" ht="20.100000000000001" customHeight="1" x14ac:dyDescent="0.3">
      <c r="A21" s="5"/>
      <c r="B21" s="306"/>
      <c r="C21" s="310" t="s">
        <v>100</v>
      </c>
      <c r="D21" s="311"/>
      <c r="E21" s="9">
        <f>'연구비계상(과제책임자용)'!R15</f>
        <v>300000</v>
      </c>
      <c r="F21" s="5"/>
      <c r="G21" s="5"/>
      <c r="H21" s="6"/>
      <c r="I21" s="5"/>
      <c r="J21" s="5"/>
      <c r="K21" s="5"/>
    </row>
    <row r="22" spans="1:11" ht="20.100000000000001" customHeight="1" x14ac:dyDescent="0.3">
      <c r="A22" s="5"/>
      <c r="B22" s="306"/>
      <c r="C22" s="310" t="s">
        <v>101</v>
      </c>
      <c r="D22" s="311"/>
      <c r="E22" s="9">
        <f>SUM('연구비계상(과제책임자용)'!R10:R13,'연구비계상(과제책임자용)'!R16:R18)</f>
        <v>0</v>
      </c>
      <c r="F22" s="5"/>
      <c r="G22" s="5"/>
      <c r="H22" s="6"/>
      <c r="I22" s="5"/>
      <c r="J22" s="5"/>
      <c r="K22" s="5"/>
    </row>
    <row r="23" spans="1:11" ht="20.100000000000001" customHeight="1" x14ac:dyDescent="0.3">
      <c r="A23" s="5"/>
      <c r="B23" s="306"/>
      <c r="C23" s="305" t="s">
        <v>103</v>
      </c>
      <c r="D23" s="305"/>
      <c r="E23" s="25">
        <f>SUM(E20:E22)</f>
        <v>0</v>
      </c>
      <c r="F23" s="5"/>
      <c r="G23" s="5"/>
      <c r="H23" s="6"/>
      <c r="I23" s="5"/>
      <c r="J23" s="5"/>
      <c r="K23" s="5"/>
    </row>
    <row r="24" spans="1:11" ht="20.100000000000001" customHeight="1" x14ac:dyDescent="0.3">
      <c r="A24" s="5"/>
      <c r="B24" s="306" t="s">
        <v>105</v>
      </c>
      <c r="C24" s="307"/>
      <c r="D24" s="307"/>
      <c r="E24" s="9">
        <f>'연구비계상(과제책임자용)'!R21</f>
        <v>0</v>
      </c>
      <c r="F24" s="5"/>
      <c r="G24" s="5"/>
      <c r="H24" s="6"/>
      <c r="I24" s="5"/>
      <c r="J24" s="5"/>
      <c r="K24" s="5"/>
    </row>
    <row r="25" spans="1:11" ht="20.100000000000001" customHeight="1" thickBot="1" x14ac:dyDescent="0.35">
      <c r="A25" s="5"/>
      <c r="B25" s="308" t="s">
        <v>104</v>
      </c>
      <c r="C25" s="309"/>
      <c r="D25" s="309"/>
      <c r="E25" s="26">
        <f>E19+E23+E24</f>
        <v>30000000</v>
      </c>
      <c r="F25" s="5"/>
      <c r="G25" s="5"/>
      <c r="H25" s="6"/>
      <c r="I25" s="5"/>
      <c r="J25" s="5"/>
      <c r="K25" s="5"/>
    </row>
    <row r="26" spans="1:11" ht="13.5" customHeight="1" x14ac:dyDescent="0.3">
      <c r="A26" s="5"/>
      <c r="B26" s="5"/>
      <c r="C26" s="5"/>
      <c r="D26" s="5"/>
      <c r="E26" s="5"/>
      <c r="F26" s="5"/>
      <c r="G26" s="5"/>
      <c r="H26" s="6"/>
      <c r="I26" s="5"/>
      <c r="J26" s="5"/>
      <c r="K26" s="5"/>
    </row>
  </sheetData>
  <mergeCells count="30">
    <mergeCell ref="B2:J2"/>
    <mergeCell ref="G16:J16"/>
    <mergeCell ref="I17:J17"/>
    <mergeCell ref="D4:J4"/>
    <mergeCell ref="D5:J5"/>
    <mergeCell ref="D6:J6"/>
    <mergeCell ref="D7:J7"/>
    <mergeCell ref="D8:J8"/>
    <mergeCell ref="I11:J11"/>
    <mergeCell ref="G10:J10"/>
    <mergeCell ref="B4:C4"/>
    <mergeCell ref="B5:C5"/>
    <mergeCell ref="B6:C6"/>
    <mergeCell ref="B7:C7"/>
    <mergeCell ref="B8:C8"/>
    <mergeCell ref="B11:B19"/>
    <mergeCell ref="B24:D24"/>
    <mergeCell ref="B25:D25"/>
    <mergeCell ref="C20:D20"/>
    <mergeCell ref="C21:D21"/>
    <mergeCell ref="C22:D22"/>
    <mergeCell ref="C19:D19"/>
    <mergeCell ref="B20:B23"/>
    <mergeCell ref="C23:D23"/>
    <mergeCell ref="C11:C13"/>
    <mergeCell ref="C14:D14"/>
    <mergeCell ref="C15:D15"/>
    <mergeCell ref="C16:D16"/>
    <mergeCell ref="C17:D17"/>
    <mergeCell ref="C18:D18"/>
  </mergeCells>
  <phoneticPr fontId="1" type="noConversion"/>
  <conditionalFormatting sqref="H12:H14 H18:H20">
    <cfRule type="containsText" dxfId="1" priority="1" operator="containsText" text="부적정">
      <formula>NOT(ISERROR(SEARCH("부적정",H12)))</formula>
    </cfRule>
    <cfRule type="containsText" dxfId="0" priority="2" operator="containsText" text="적정">
      <formula>NOT(ISERROR(SEARCH("적정",H12)))</formula>
    </cfRule>
  </conditionalFormatting>
  <pageMargins left="0.7" right="0.7" top="0.75" bottom="0.75" header="0.3" footer="0.3"/>
  <pageSetup paperSize="9" scale="5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31"/>
  <sheetViews>
    <sheetView view="pageBreakPreview" topLeftCell="A4" zoomScaleNormal="100" zoomScaleSheetLayoutView="100" workbookViewId="0">
      <selection activeCell="B19" sqref="B19:E19"/>
    </sheetView>
  </sheetViews>
  <sheetFormatPr defaultColWidth="9" defaultRowHeight="12.95" customHeight="1" x14ac:dyDescent="0.3"/>
  <cols>
    <col min="1" max="1" width="2.125" style="1" customWidth="1"/>
    <col min="2" max="2" width="11.875" style="1" customWidth="1"/>
    <col min="3" max="3" width="23.625" style="1" customWidth="1"/>
    <col min="4" max="4" width="23.5" style="1" customWidth="1"/>
    <col min="5" max="5" width="21.375" style="1" customWidth="1"/>
    <col min="6" max="6" width="2.125" style="1" customWidth="1"/>
    <col min="7" max="16384" width="9" style="1"/>
  </cols>
  <sheetData>
    <row r="1" spans="1:6" ht="12.95" customHeight="1" thickBot="1" x14ac:dyDescent="0.35">
      <c r="A1" s="2"/>
      <c r="B1" s="2"/>
      <c r="C1" s="2"/>
      <c r="D1" s="2"/>
      <c r="E1" s="2"/>
      <c r="F1" s="2"/>
    </row>
    <row r="2" spans="1:6" ht="12.95" customHeight="1" thickBot="1" x14ac:dyDescent="0.35">
      <c r="A2" s="2"/>
      <c r="B2" s="335" t="s">
        <v>125</v>
      </c>
      <c r="C2" s="335"/>
      <c r="D2" s="335"/>
      <c r="E2" s="335"/>
      <c r="F2" s="2"/>
    </row>
    <row r="3" spans="1:6" ht="12.95" customHeight="1" thickBot="1" x14ac:dyDescent="0.35">
      <c r="A3" s="2"/>
      <c r="B3" s="36" t="s">
        <v>126</v>
      </c>
      <c r="C3" s="36" t="s">
        <v>127</v>
      </c>
      <c r="D3" s="36" t="s">
        <v>132</v>
      </c>
      <c r="E3" s="36" t="s">
        <v>129</v>
      </c>
      <c r="F3" s="2"/>
    </row>
    <row r="4" spans="1:6" ht="12.95" customHeight="1" thickBot="1" x14ac:dyDescent="0.35">
      <c r="A4" s="2"/>
      <c r="B4" s="38"/>
      <c r="C4" s="38"/>
      <c r="D4" s="38"/>
      <c r="E4" s="44"/>
      <c r="F4" s="2"/>
    </row>
    <row r="5" spans="1:6" ht="12.95" customHeight="1" thickBot="1" x14ac:dyDescent="0.35">
      <c r="A5" s="2"/>
      <c r="B5" s="37"/>
      <c r="C5" s="37"/>
      <c r="D5" s="37"/>
      <c r="E5" s="37"/>
      <c r="F5" s="2"/>
    </row>
    <row r="6" spans="1:6" ht="12.95" customHeight="1" thickBot="1" x14ac:dyDescent="0.35">
      <c r="A6" s="2"/>
      <c r="B6" s="336" t="s">
        <v>62</v>
      </c>
      <c r="C6" s="337"/>
      <c r="D6" s="337"/>
      <c r="E6" s="338"/>
      <c r="F6" s="33"/>
    </row>
    <row r="7" spans="1:6" ht="12.95" customHeight="1" thickBot="1" x14ac:dyDescent="0.35">
      <c r="A7" s="2"/>
      <c r="B7" s="31" t="s">
        <v>61</v>
      </c>
      <c r="C7" s="28" t="s">
        <v>128</v>
      </c>
      <c r="D7" s="28" t="s">
        <v>129</v>
      </c>
      <c r="E7" s="31" t="s">
        <v>130</v>
      </c>
      <c r="F7" s="2"/>
    </row>
    <row r="8" spans="1:6" ht="12.95" customHeight="1" x14ac:dyDescent="0.3">
      <c r="A8" s="2"/>
      <c r="B8" s="178">
        <v>2106</v>
      </c>
      <c r="C8" s="177" t="s">
        <v>167</v>
      </c>
      <c r="D8" s="39">
        <f>'연구비계상(과제책임자용)'!L3</f>
        <v>30000000</v>
      </c>
      <c r="E8" s="187" t="s">
        <v>43</v>
      </c>
      <c r="F8" s="2"/>
    </row>
    <row r="9" spans="1:6" ht="12.95" customHeight="1" x14ac:dyDescent="0.3">
      <c r="A9" s="2"/>
      <c r="B9" s="179">
        <v>2104</v>
      </c>
      <c r="C9" s="174" t="s">
        <v>166</v>
      </c>
      <c r="D9" s="40">
        <f>'연구비계상(과제책임자용)'!R9-'연구비계상(과제책임자용)'!L3-'연구비계상(과제책임자용)'!R8</f>
        <v>0</v>
      </c>
      <c r="E9" s="187" t="s">
        <v>64</v>
      </c>
      <c r="F9" s="2"/>
    </row>
    <row r="10" spans="1:6" ht="12.95" customHeight="1" x14ac:dyDescent="0.3">
      <c r="A10" s="2"/>
      <c r="B10" s="179">
        <v>2106</v>
      </c>
      <c r="C10" s="175" t="s">
        <v>168</v>
      </c>
      <c r="D10" s="40">
        <f>'연구비계상(과제책임자용)'!R14</f>
        <v>-300000</v>
      </c>
      <c r="E10" s="187" t="s">
        <v>171</v>
      </c>
      <c r="F10" s="2"/>
    </row>
    <row r="11" spans="1:6" ht="12.95" customHeight="1" x14ac:dyDescent="0.3">
      <c r="A11" s="2"/>
      <c r="B11" s="179">
        <v>2122</v>
      </c>
      <c r="C11" s="175" t="s">
        <v>65</v>
      </c>
      <c r="D11" s="40">
        <f>'연구비계상(과제책임자용)'!R15</f>
        <v>300000</v>
      </c>
      <c r="E11" s="187" t="s">
        <v>175</v>
      </c>
      <c r="F11" s="2"/>
    </row>
    <row r="12" spans="1:6" ht="27" x14ac:dyDescent="0.3">
      <c r="A12" s="2"/>
      <c r="B12" s="179">
        <v>2123</v>
      </c>
      <c r="C12" s="175" t="s">
        <v>66</v>
      </c>
      <c r="D12" s="40">
        <f>'연구비계상(과제책임자용)'!R10</f>
        <v>0</v>
      </c>
      <c r="E12" s="188" t="s">
        <v>172</v>
      </c>
      <c r="F12" s="2"/>
    </row>
    <row r="13" spans="1:6" ht="12.95" customHeight="1" thickBot="1" x14ac:dyDescent="0.35">
      <c r="A13" s="2"/>
      <c r="B13" s="179">
        <v>2121</v>
      </c>
      <c r="C13" s="175" t="s">
        <v>67</v>
      </c>
      <c r="D13" s="181">
        <f>'연구비계상(과제책임자용)'!R11</f>
        <v>0</v>
      </c>
      <c r="E13" s="187" t="s">
        <v>170</v>
      </c>
      <c r="F13" s="2"/>
    </row>
    <row r="14" spans="1:6" ht="12.95" customHeight="1" thickBot="1" x14ac:dyDescent="0.35">
      <c r="A14" s="2"/>
      <c r="B14" s="183">
        <v>2104</v>
      </c>
      <c r="C14" s="184" t="s">
        <v>63</v>
      </c>
      <c r="D14" s="185">
        <f>'연구비계상(과제책임자용)'!R8</f>
        <v>0</v>
      </c>
      <c r="E14" s="186" t="s">
        <v>10</v>
      </c>
      <c r="F14" s="2"/>
    </row>
    <row r="15" spans="1:6" ht="12.95" customHeight="1" x14ac:dyDescent="0.3">
      <c r="A15" s="2"/>
      <c r="B15" s="179">
        <v>2126</v>
      </c>
      <c r="C15" s="175" t="s">
        <v>68</v>
      </c>
      <c r="D15" s="182">
        <f>'연구비계상(과제책임자용)'!R21</f>
        <v>0</v>
      </c>
      <c r="E15" s="146"/>
      <c r="F15" s="2"/>
    </row>
    <row r="16" spans="1:6" ht="12.95" customHeight="1" thickBot="1" x14ac:dyDescent="0.35">
      <c r="A16" s="2"/>
      <c r="B16" s="179">
        <v>2129</v>
      </c>
      <c r="C16" s="175" t="s">
        <v>169</v>
      </c>
      <c r="D16" s="40">
        <v>0</v>
      </c>
      <c r="E16" s="32"/>
      <c r="F16" s="2"/>
    </row>
    <row r="17" spans="1:6" ht="12.95" customHeight="1" thickBot="1" x14ac:dyDescent="0.35">
      <c r="A17" s="2"/>
      <c r="B17" s="339" t="s">
        <v>131</v>
      </c>
      <c r="C17" s="340"/>
      <c r="D17" s="42">
        <f>SUM(D8:D16)-D14</f>
        <v>30000000</v>
      </c>
      <c r="E17" s="34"/>
      <c r="F17" s="2"/>
    </row>
    <row r="18" spans="1:6" ht="13.5" x14ac:dyDescent="0.3">
      <c r="A18" s="2"/>
      <c r="B18" s="2"/>
      <c r="C18" s="2"/>
      <c r="D18" s="2"/>
      <c r="E18" s="30"/>
      <c r="F18" s="2"/>
    </row>
    <row r="19" spans="1:6" ht="14.25" thickBot="1" x14ac:dyDescent="0.35">
      <c r="A19" s="2"/>
      <c r="B19" s="336" t="s">
        <v>165</v>
      </c>
      <c r="C19" s="337"/>
      <c r="D19" s="337"/>
      <c r="E19" s="338"/>
      <c r="F19" s="2"/>
    </row>
    <row r="20" spans="1:6" ht="12.95" customHeight="1" thickBot="1" x14ac:dyDescent="0.35">
      <c r="A20" s="2"/>
      <c r="B20" s="29" t="s">
        <v>61</v>
      </c>
      <c r="C20" s="28" t="s">
        <v>128</v>
      </c>
      <c r="D20" s="28" t="s">
        <v>129</v>
      </c>
      <c r="E20" s="29" t="s">
        <v>130</v>
      </c>
      <c r="F20" s="2"/>
    </row>
    <row r="21" spans="1:6" ht="12.95" customHeight="1" x14ac:dyDescent="0.3">
      <c r="A21" s="2"/>
      <c r="B21" s="178">
        <v>2106</v>
      </c>
      <c r="C21" s="177" t="s">
        <v>167</v>
      </c>
      <c r="D21" s="39">
        <f>'연구비계상(과제책임자용)'!L3</f>
        <v>30000000</v>
      </c>
      <c r="E21" s="187" t="s">
        <v>43</v>
      </c>
      <c r="F21" s="2"/>
    </row>
    <row r="22" spans="1:6" ht="12.95" customHeight="1" x14ac:dyDescent="0.3">
      <c r="A22" s="2"/>
      <c r="B22" s="179">
        <v>2105</v>
      </c>
      <c r="C22" s="174" t="s">
        <v>173</v>
      </c>
      <c r="D22" s="40">
        <f>'연구비계상(과제책임자용)'!R9-'연구비계상(과제책임자용)'!L3-'연구비계상(과제책임자용)'!R8</f>
        <v>0</v>
      </c>
      <c r="E22" s="187" t="s">
        <v>64</v>
      </c>
      <c r="F22" s="2"/>
    </row>
    <row r="23" spans="1:6" ht="12.95" customHeight="1" x14ac:dyDescent="0.3">
      <c r="A23" s="2"/>
      <c r="B23" s="179">
        <v>2106</v>
      </c>
      <c r="C23" s="175" t="s">
        <v>168</v>
      </c>
      <c r="D23" s="40">
        <f>'연구비계상(과제책임자용)'!R14</f>
        <v>-300000</v>
      </c>
      <c r="E23" s="187" t="s">
        <v>171</v>
      </c>
      <c r="F23" s="2"/>
    </row>
    <row r="24" spans="1:6" ht="12.95" customHeight="1" x14ac:dyDescent="0.3">
      <c r="A24" s="2"/>
      <c r="B24" s="179">
        <v>2122</v>
      </c>
      <c r="C24" s="175" t="s">
        <v>70</v>
      </c>
      <c r="D24" s="40">
        <f>'연구비계상(과제책임자용)'!R15</f>
        <v>300000</v>
      </c>
      <c r="E24" s="187" t="s">
        <v>175</v>
      </c>
      <c r="F24" s="2"/>
    </row>
    <row r="25" spans="1:6" ht="27" x14ac:dyDescent="0.3">
      <c r="A25" s="2"/>
      <c r="B25" s="179">
        <v>2123</v>
      </c>
      <c r="C25" s="175" t="s">
        <v>66</v>
      </c>
      <c r="D25" s="40">
        <f>'연구비계상(과제책임자용)'!R10</f>
        <v>0</v>
      </c>
      <c r="E25" s="188" t="s">
        <v>172</v>
      </c>
      <c r="F25" s="2"/>
    </row>
    <row r="26" spans="1:6" ht="12.95" customHeight="1" thickBot="1" x14ac:dyDescent="0.35">
      <c r="A26" s="2"/>
      <c r="B26" s="179">
        <v>2121</v>
      </c>
      <c r="C26" s="175" t="s">
        <v>67</v>
      </c>
      <c r="D26" s="181">
        <f>'연구비계상(과제책임자용)'!R11</f>
        <v>0</v>
      </c>
      <c r="E26" s="187" t="s">
        <v>170</v>
      </c>
      <c r="F26" s="2"/>
    </row>
    <row r="27" spans="1:6" ht="12.95" customHeight="1" thickBot="1" x14ac:dyDescent="0.35">
      <c r="A27" s="2"/>
      <c r="B27" s="183">
        <v>2104</v>
      </c>
      <c r="C27" s="184" t="s">
        <v>69</v>
      </c>
      <c r="D27" s="185">
        <f>'연구비계상(과제책임자용)'!R8</f>
        <v>0</v>
      </c>
      <c r="E27" s="186" t="s">
        <v>10</v>
      </c>
      <c r="F27" s="2"/>
    </row>
    <row r="28" spans="1:6" ht="12.95" customHeight="1" x14ac:dyDescent="0.3">
      <c r="A28" s="2"/>
      <c r="B28" s="179">
        <v>2126</v>
      </c>
      <c r="C28" s="175" t="s">
        <v>71</v>
      </c>
      <c r="D28" s="182">
        <f>'연구비계상(과제책임자용)'!R21</f>
        <v>0</v>
      </c>
      <c r="E28" s="146"/>
      <c r="F28" s="2"/>
    </row>
    <row r="29" spans="1:6" ht="12.95" customHeight="1" thickBot="1" x14ac:dyDescent="0.35">
      <c r="A29" s="2"/>
      <c r="B29" s="180">
        <v>2130</v>
      </c>
      <c r="C29" s="176" t="s">
        <v>174</v>
      </c>
      <c r="D29" s="41">
        <v>0</v>
      </c>
      <c r="E29" s="146"/>
      <c r="F29" s="2"/>
    </row>
    <row r="30" spans="1:6" ht="12.95" customHeight="1" thickBot="1" x14ac:dyDescent="0.35">
      <c r="A30" s="2"/>
      <c r="B30" s="339" t="s">
        <v>131</v>
      </c>
      <c r="C30" s="340"/>
      <c r="D30" s="43">
        <f>SUM(D21:D29)-D27</f>
        <v>30000000</v>
      </c>
      <c r="E30" s="35"/>
      <c r="F30" s="2"/>
    </row>
    <row r="31" spans="1:6" ht="12.95" customHeight="1" x14ac:dyDescent="0.3">
      <c r="A31" s="2"/>
      <c r="B31" s="2"/>
      <c r="C31" s="2"/>
      <c r="D31" s="2"/>
      <c r="E31" s="2"/>
      <c r="F31" s="2"/>
    </row>
  </sheetData>
  <mergeCells count="5">
    <mergeCell ref="B2:E2"/>
    <mergeCell ref="B6:E6"/>
    <mergeCell ref="B19:E19"/>
    <mergeCell ref="B17:C17"/>
    <mergeCell ref="B30:C30"/>
  </mergeCells>
  <phoneticPr fontId="1" type="noConversion"/>
  <pageMargins left="0.7" right="0.7" top="0.75" bottom="0.75" header="0.3" footer="0.3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ColWidth="8.875" defaultRowHeight="16.5" x14ac:dyDescent="0.3"/>
  <sheetData>
    <row r="1" spans="1:1" x14ac:dyDescent="0.3">
      <c r="A1" t="s">
        <v>123</v>
      </c>
    </row>
    <row r="2" spans="1:1" x14ac:dyDescent="0.3">
      <c r="A2" t="s">
        <v>79</v>
      </c>
    </row>
  </sheetData>
  <sheetProtection algorithmName="SHA-512" hashValue="ZKeO1x+/GgAt/7JjtMpTaK6BgGw3GrmaIua+j/1VmFjCkXS04icqrp/U1IsNC6mSf0gbPiEWn20QSw2ETzTdFA==" saltValue="bkrrXPsCKI4Bgfa39WQy9Q==" spinCount="100000" sheet="1" objects="1" scenario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연구비계상(과제책임자용)</vt:lpstr>
      <vt:lpstr>인건비계상기준</vt:lpstr>
      <vt:lpstr>연구비총괄표(연구업무심의회용)</vt:lpstr>
      <vt:lpstr>회계계정(성과관리팀용)</vt:lpstr>
      <vt:lpstr>DATA</vt:lpstr>
      <vt:lpstr>'연구비계상(과제책임자용)'!Print_Area</vt:lpstr>
      <vt:lpstr>'연구비총괄표(연구업무심의회용)'!Print_Area</vt:lpstr>
      <vt:lpstr>'회계계정(성과관리팀용)'!Print_Area</vt:lpstr>
      <vt:lpstr>목록_단위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jks</dc:creator>
  <cp:lastModifiedBy>ADMIN</cp:lastModifiedBy>
  <dcterms:created xsi:type="dcterms:W3CDTF">2020-02-26T08:30:12Z</dcterms:created>
  <dcterms:modified xsi:type="dcterms:W3CDTF">2026-07-20T04:22:11Z</dcterms:modified>
</cp:coreProperties>
</file>